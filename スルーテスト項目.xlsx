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機能一覧" sheetId="1" r:id="rId4"/>
    <sheet state="visible" name="0823向け修正メモ" sheetId="2" r:id="rId5"/>
    <sheet state="visible" name="集計" sheetId="3" r:id="rId6"/>
  </sheets>
  <definedNames>
    <definedName hidden="1" localSheetId="0" name="_xlnm._FilterDatabase">'機能一覧'!$A$2:$Z$531</definedName>
  </definedNames>
  <calcPr/>
  <extLst>
    <ext uri="GoogleSheetsCustomDataVersion2">
      <go:sheetsCustomData xmlns:go="http://customooxmlschemas.google.com/" r:id="rId7" roundtripDataChecksum="T73SnBvvRhnBg39exhuROccEbyz59sBbVqWoZGES8OE="/>
    </ext>
  </extLst>
</workbook>
</file>

<file path=xl/sharedStrings.xml><?xml version="1.0" encoding="utf-8"?>
<sst xmlns="http://schemas.openxmlformats.org/spreadsheetml/2006/main" count="5267" uniqueCount="1408">
  <si>
    <t>ケース数</t>
  </si>
  <si>
    <t>チケット</t>
  </si>
  <si>
    <t>A</t>
  </si>
  <si>
    <t>URL</t>
  </si>
  <si>
    <t>追加済チェック</t>
  </si>
  <si>
    <t>顧客名の「正式名称」を持てるようにする</t>
  </si>
  <si>
    <t>https://app.notion.com/p/fact-base/3a77b39bb0c8818dbb2bddd161c01e80</t>
  </si>
  <si>
    <t>B</t>
  </si>
  <si>
    <t>C</t>
  </si>
  <si>
    <t>D</t>
  </si>
  <si>
    <t>計</t>
  </si>
  <si>
    <t>済</t>
  </si>
  <si>
    <t>書き込み：案件一覧で連続書き込み</t>
  </si>
  <si>
    <t>自動化対象</t>
  </si>
  <si>
    <t>https://app.notion.com/p/fact-base/3a47b39bb0c880c18f04f77957e8cd11</t>
  </si>
  <si>
    <t>修正フラグ</t>
  </si>
  <si>
    <t>ID</t>
  </si>
  <si>
    <t>画面</t>
  </si>
  <si>
    <t>機能</t>
  </si>
  <si>
    <t>実施結果</t>
  </si>
  <si>
    <t>ステータス</t>
  </si>
  <si>
    <t>備考</t>
  </si>
  <si>
    <t>重要度(*1)</t>
  </si>
  <si>
    <t>未実施</t>
  </si>
  <si>
    <t>バリエーション</t>
  </si>
  <si>
    <t>前提条件</t>
  </si>
  <si>
    <t>確認手順</t>
  </si>
  <si>
    <t>確認内容</t>
  </si>
  <si>
    <t>実施者</t>
  </si>
  <si>
    <t>結果</t>
  </si>
  <si>
    <t>関数</t>
  </si>
  <si>
    <t>値のみ ※誤修正した場合のバックアップ</t>
  </si>
  <si>
    <t>追加</t>
  </si>
  <si>
    <t>修正</t>
  </si>
  <si>
    <t>ログイン</t>
  </si>
  <si>
    <t>OK</t>
  </si>
  <si>
    <t>多要素認証(無効)</t>
  </si>
  <si>
    <t>※動作上変わらないチケットは記載対象外</t>
  </si>
  <si>
    <t>・ログイン画面を表示していること
・多要素認証を無効にしているアカウントがあること</t>
  </si>
  <si>
    <t>1.ズメーンに登録済みのメールアドレスとパスワードを入力する
2.「続ける」を押下する</t>
  </si>
  <si>
    <t>・入力したアカウントでログインできること</t>
  </si>
  <si>
    <t>Auto</t>
  </si>
  <si>
    <t>NG</t>
  </si>
  <si>
    <t>自動化</t>
  </si>
  <si>
    <t>保留</t>
  </si>
  <si>
    <t>〇</t>
  </si>
  <si>
    <t>多要素認証(有効)</t>
  </si>
  <si>
    <t>対象外</t>
  </si>
  <si>
    <t>・ログイン画面を表示していること
・多要素認証を有効にしているアカウントがあること</t>
  </si>
  <si>
    <t>1.ズメーンに登録済みのメールアドレスとパスワードを入力する
2.「続ける」を押下する
3.認証アプリを使用して、ワンタイムコードの入力を行う
4.「続ける」を押下する
5.「続ける」を押下する</t>
  </si>
  <si>
    <t>パスワードリセット</t>
  </si>
  <si>
    <t>※パスワードリセット宛のメールが届くため、受信を確認できるメールアドレスで実施する</t>
  </si>
  <si>
    <t>・ログイン画面を表示していること</t>
  </si>
  <si>
    <t>1.「パスワードをお忘れですか？」を押下する
2.ズメーンに登録済みのメールアドレスを入力する
3.「続ける」を押下する
4.受信した【ズメーン】パスワードの変更の「こちら」を押下する
5.新しいパスワードと新しいパスワードの再入力に同値を入力する
6.「パスワードのリセット」を押下する
7.メールアドレスと変更したパスワードでズメーンにログインを行う</t>
  </si>
  <si>
    <t>フリーワード検索</t>
  </si>
  <si>
    <t>図面⇔ファイル切り替え</t>
  </si>
  <si>
    <t>・図面フリーワード検索画面を表示していること</t>
  </si>
  <si>
    <t>1.ラジオボタンの「ファイル」を押下する
2.ラジオボタンの「図面」を押下する</t>
  </si>
  <si>
    <t>・図面とファイルのフリーワード検索が切り替わること</t>
  </si>
  <si>
    <t>×</t>
  </si>
  <si>
    <t>図面</t>
  </si>
  <si>
    <t>検索</t>
  </si>
  <si>
    <t>※入力した内容による検索パターンはチケットテスト時に行う</t>
  </si>
  <si>
    <t>1.任意の値を入力する</t>
  </si>
  <si>
    <t>・検索内容にヒットした図面が表示されること</t>
  </si>
  <si>
    <t>絞り込み</t>
  </si>
  <si>
    <t>同上</t>
  </si>
  <si>
    <t>2.「絞り込み」を押下する
3.任意の期間を選択する</t>
  </si>
  <si>
    <t>・選択した期間の登録日の図面のみ表示されること</t>
  </si>
  <si>
    <t>並び順</t>
  </si>
  <si>
    <t>4.「並び順」を押下する
5.任意の順を選択する</t>
  </si>
  <si>
    <t>・選択した並び順の通りに表示されること</t>
  </si>
  <si>
    <t>ファイル</t>
  </si>
  <si>
    <t>・ファイルフリーワード検索画面を表示していること</t>
  </si>
  <si>
    <t>・検索内容にヒットしたファイルが表示されること</t>
  </si>
  <si>
    <t>2.「絞り込み」を押下する
3.任意の期間を選択する
4.任意の種別を選択する</t>
  </si>
  <si>
    <t>・選択した期間の登録日と種別のファイルのみ表示されること</t>
  </si>
  <si>
    <t>5.「並び順」を押下する
6.任意の順を選択する</t>
  </si>
  <si>
    <t>図面一覧</t>
  </si>
  <si>
    <t>一括操作</t>
  </si>
  <si>
    <t>選択</t>
  </si>
  <si>
    <t>単一選択</t>
  </si>
  <si>
    <t>・図面一覧画面を表示していること</t>
  </si>
  <si>
    <t>1.「一括操作」を押下する
2.任意の図面を押下する
3.手順2と同様の図面を押下する</t>
  </si>
  <si>
    <t>・図面の選択/未選択が切り替わること</t>
  </si>
  <si>
    <t>全選択</t>
  </si>
  <si>
    <t>1.「一括操作」を押下する
2.「全選択」を押下する
3.「全選択」を押下する</t>
  </si>
  <si>
    <t>・同ページ内の図面の選択/未選択が切り替わること</t>
  </si>
  <si>
    <t>新規案件作成</t>
  </si>
  <si>
    <t>すべての行に反映</t>
  </si>
  <si>
    <t>1.「一括操作」を押下する
2.任意の図面を押下する
3.「新規案件作成」を押下する
4.最上部の行に任意の値を入力・選択する
5.「すべての行に反映」を押下する</t>
  </si>
  <si>
    <t>・最上部の行の値がすべての案件に反映されること</t>
  </si>
  <si>
    <t>手入力</t>
  </si>
  <si>
    <t>6.案件行に任意の値を入力・選択する</t>
  </si>
  <si>
    <t>・入力・選択した通りに値が入力できること</t>
  </si>
  <si>
    <t>※すべて同一のステータスの場合は該当タブ、それ以外の場合は「すべてタブ」</t>
  </si>
  <si>
    <t>7.「案件を作成する」を押下する
8.「案件一覧に移動する」を押下する</t>
  </si>
  <si>
    <t>・入力した値の通りに新規案件が作成されること
・案件一覧画面に遷移すること</t>
  </si>
  <si>
    <t>ファイル追加</t>
  </si>
  <si>
    <t>1.「一括操作」を押下する
2.任意の図面を押下する
3.「ファイル追加」を押下する
4.図面と関連資料で任意のファイルを選択する
5.「保存する」を押下する</t>
  </si>
  <si>
    <t>・選択した図面にファイルの追加をできること</t>
  </si>
  <si>
    <r>
      <rPr>
        <rFont val="游ゴシック"/>
        <color theme="1"/>
        <sz val="11.0"/>
      </rPr>
      <t xml:space="preserve">タブレットで実施
</t>
    </r>
    <r>
      <rPr>
        <rFont val="游ゴシック"/>
        <color rgb="FFFF0000"/>
        <sz val="11.0"/>
      </rPr>
      <t>※実施するOS/機種については別途相談</t>
    </r>
  </si>
  <si>
    <t>1.「一括操作」を押下する
2.任意の図面を押下する
3.「ファイル追加」を押下する
4.「ファイルを選択」を押下する
5.「写真ライブラリ」を押下する
6.任意の写真を選択する
7.「保存する」を押下する</t>
  </si>
  <si>
    <t>・写真ライブラリからアップロードできること</t>
  </si>
  <si>
    <t>写真を撮る(タブレット)
※関連資料は録画も</t>
  </si>
  <si>
    <r>
      <rPr>
        <rFont val="游ゴシック"/>
        <color theme="1"/>
        <sz val="11.0"/>
      </rPr>
      <t xml:space="preserve">タブレットで実施
</t>
    </r>
    <r>
      <rPr>
        <rFont val="游ゴシック"/>
        <color rgb="FFFF0000"/>
        <sz val="11.0"/>
      </rPr>
      <t>※実施するOS/機種については別途相談</t>
    </r>
  </si>
  <si>
    <t>1.「一括操作」を押下する
2.任意の図面を押下する
3.「ファイル追加」を押下する
4.「ファイルを選択」を押下する
5.「写真を撮る」を押下する
6.写真の撮影を行う
7.「保存する」を押下する</t>
  </si>
  <si>
    <t>・撮影した写真をアップロードできること</t>
  </si>
  <si>
    <t>図面項目編集</t>
  </si>
  <si>
    <t>1.「一括操作」を押下する
2.任意の図面を押下する
3.「図面項目編集」を押下する
4.任意の項目を選択する
5.「次へ」を押下する
6.任意の値を入力/選択する
7.「保存する」を押下する</t>
  </si>
  <si>
    <t>・変更内容が反映されること</t>
  </si>
  <si>
    <t>連続書込</t>
  </si>
  <si>
    <t>1.「一括操作」を押下する
2.任意の図面を複数押下する
3.「連続書込」を押下する
4.任意の書き込みを行う
5.書き込んだオブジェクトをコピーする(ctrl + c or cmd + c)
6.「新しいファイルとして保存して次へ」を押下する
7.コピーしたオブジェクトををペーストする(ctrl + v or cmd + v)
8.「新しいファイルとして保存して終了」を押下する</t>
  </si>
  <si>
    <t>・ファイルを跨いだオブジェクトのコピペができ、書きこも保存後のプレビューが正常に表示されること</t>
  </si>
  <si>
    <t>最新図面印刷</t>
  </si>
  <si>
    <t>1.「一括操作」を押下する
2.任意の図面を押下する
3.「最新図面印刷」を押下する</t>
  </si>
  <si>
    <t>・選択した図面の印刷プレビューが表示されること</t>
  </si>
  <si>
    <t>最新図面ダウンロード</t>
  </si>
  <si>
    <t>1.「一括操作」を押下する
2.任意の図面を押下する
3.「最新図面ダウンロード」を押下する</t>
  </si>
  <si>
    <t>・選択した図面の最新図面がすべてダウンロードできること</t>
  </si>
  <si>
    <t>一括削除</t>
  </si>
  <si>
    <t>1.「一括操作」を押下する
2.任意の図面を押下する
3.「削除」を押下する
4."delete"と入力する
5.「削除する」を押下する</t>
  </si>
  <si>
    <t>・選択した図面をすべて削除できること</t>
  </si>
  <si>
    <t>新しい図面を追加</t>
  </si>
  <si>
    <t>ファイル選択(ボタン)</t>
  </si>
  <si>
    <t>組図保存なし</t>
  </si>
  <si>
    <t>※他画面でのファイル追加と合わせてファイル形式を網羅できるようにする？</t>
  </si>
  <si>
    <t>PDF
AI
2D-CAD：DXF, DWG
画像：JPG, JPEG, JPE, BMP, HEIC, HEIF, GIF, PNG, TIF, TIFF, SVG</t>
  </si>
  <si>
    <t>※図面詳細画面とファイル形式をわけて実施</t>
  </si>
  <si>
    <t>・図面一覧画面を表示していること
・自動登録しない、AIにおまかせ、ファイル名から登録で設定している項目があること</t>
  </si>
  <si>
    <t>1.「新しい図面を追加」を押下する
2.ファイルを選択する
3.図面基本項目、図面詳細項目に任意の値を入力する
4.「さらにファイルを選択」を押下する
5.任意のファイルを選択する
6.「保存する」を押下する</t>
  </si>
  <si>
    <r>
      <rPr>
        <rFont val="游ゴシック"/>
        <color theme="1"/>
        <sz val="11.0"/>
      </rPr>
      <t xml:space="preserve">・新しい図面を追加でき、入力した項目が反映されていること
</t>
    </r>
    <r>
      <rPr>
        <rFont val="游ゴシック"/>
        <color rgb="FFFF0000"/>
        <sz val="11.0"/>
      </rPr>
      <t>・</t>
    </r>
    <r>
      <rPr>
        <rFont val="游ゴシック"/>
        <color theme="1"/>
        <sz val="11.0"/>
      </rPr>
      <t>自動登録設定に応じた内容が入力・設定されていること
※図面詳細項目の文字項目に登録データのリストが表示されること</t>
    </r>
  </si>
  <si>
    <t>ドラック＆ドロップ</t>
  </si>
  <si>
    <t>組図保存あり</t>
  </si>
  <si>
    <t>1.「新しい図面を追加」を押下する
2.ドラック＆ドロップ操作で2ファイル以上追加する
3.図面基本項目、図面詳細項目に任意の値を入力する
4.「組図として保存する」を押下する
5.任意の図面を選択する
6.「組図として保存する」を押下する</t>
  </si>
  <si>
    <t>・新しい図面を追加でき、入力した項目が反映されていること
・自動登録設定に応じた内容が入力・設定されていること
・図面詳細の組図タブに遷移し、選択した図面が親図で他の図面が子図として追加されること</t>
  </si>
  <si>
    <t>写真ライブラリ(スマホ、タブレット)</t>
  </si>
  <si>
    <r>
      <rPr>
        <rFont val="游ゴシック"/>
        <color theme="1"/>
        <sz val="11.0"/>
      </rPr>
      <t xml:space="preserve">スマホ、タブレットで実施
</t>
    </r>
    <r>
      <rPr>
        <rFont val="游ゴシック"/>
        <color rgb="FFFF0000"/>
        <sz val="11.0"/>
      </rPr>
      <t>※実施するOS/機種については別途相談</t>
    </r>
  </si>
  <si>
    <t>1.「新しい図面を追加」を押下する
2.「ファイルを選択」を押下する
3.「写真ライブラリ」を押下する
4.任意の写真を選択する
5.「保存する」を押下する</t>
  </si>
  <si>
    <t>写真を撮る(スマホ、タブレット)</t>
  </si>
  <si>
    <r>
      <rPr>
        <rFont val="游ゴシック"/>
        <color theme="1"/>
        <sz val="11.0"/>
      </rPr>
      <t xml:space="preserve">スマホ、タブレットで実施
</t>
    </r>
    <r>
      <rPr>
        <rFont val="游ゴシック"/>
        <color rgb="FFFF0000"/>
        <sz val="11.0"/>
      </rPr>
      <t>※実施するOS/機種については別途相談</t>
    </r>
  </si>
  <si>
    <t>1.「新しい図面を追加」を押下する
2.「ファイルを選択」を押下する
3.「写真を撮る」を押下する
4.写真の撮影を行う
5.「保存する」を押下する</t>
  </si>
  <si>
    <t>ファイルを選択(スマホ、タブレット)</t>
  </si>
  <si>
    <r>
      <rPr>
        <rFont val="游ゴシック"/>
        <color theme="1"/>
        <sz val="11.0"/>
      </rPr>
      <t xml:space="preserve">スマホ、タブレットで実施
</t>
    </r>
    <r>
      <rPr>
        <rFont val="游ゴシック"/>
        <color rgb="FFFF0000"/>
        <sz val="11.0"/>
      </rPr>
      <t>※実施するOS/機種については別途相談</t>
    </r>
  </si>
  <si>
    <t>1.「新しい図面を追加」を押下する
2.「ファイルを選択」を押下する
3.「ファイルを選択」を押下する
4.任意のファイルを選択する
5.「保存する」を押下する</t>
  </si>
  <si>
    <t>・ファイルからアップロードできること</t>
  </si>
  <si>
    <t>PDFを分割+書き込み</t>
  </si>
  <si>
    <t>PDF</t>
  </si>
  <si>
    <t>1.「新しい図面を追加」を押下する
2.PDFファイルを選択する
3.「分割」を押下する
4.任意の分割を行う
5.任意のページ「このページを複製」を押下する
6.「書き込み」を押下する
7.任意の書き込みを行う
8.「+追加」を押下する
9.「保存する」を押下する
10.「分割された図面を新規追加」を押下する
11.図面基本項目、図面詳細項目に任意の値を入力する
12.「保存する」を押下する</t>
  </si>
  <si>
    <t>・新しい図面を追加でき、入力した項目が反映されていること
・分割/書き込みが正しく反映されていること</t>
  </si>
  <si>
    <t>1.検索内容の入力/選択を行う</t>
  </si>
  <si>
    <t>・条件に一致する図面のみ表示されること</t>
  </si>
  <si>
    <t>画面更新</t>
  </si>
  <si>
    <t>2.画面の更新を行う</t>
  </si>
  <si>
    <t>・検索条件が保持され、正しい検索内容が表示されること</t>
  </si>
  <si>
    <t>並び替え</t>
  </si>
  <si>
    <t>登録日順、最終更新日時順、図番順、納品日(日付項目)</t>
  </si>
  <si>
    <t>1.並び替えから表示順を選択する</t>
  </si>
  <si>
    <t>表示数</t>
  </si>
  <si>
    <t>25件、50件、100件</t>
  </si>
  <si>
    <t>1.表示数から任意の件数を選択する</t>
  </si>
  <si>
    <t>・選択した通りの件数で表示されること</t>
  </si>
  <si>
    <t>図面の未読管理</t>
  </si>
  <si>
    <t>未読</t>
  </si>
  <si>
    <t>1.新規図面のアップロードを行う</t>
  </si>
  <si>
    <t>・新規図面にNewアイコンが付くこと</t>
  </si>
  <si>
    <t>未閲覧の新規図面のみ表示</t>
  </si>
  <si>
    <t>2.「未閲覧の新規図面のみ表示」のチェックをONにする</t>
  </si>
  <si>
    <t>・未読の図面のみ表示されること</t>
  </si>
  <si>
    <t>既読</t>
  </si>
  <si>
    <t>3.任意の図面を押下する
4.「←」を押下する</t>
  </si>
  <si>
    <t>・該当図面が既読になること(Newアイコンが消える)</t>
  </si>
  <si>
    <t>プレビュー表示</t>
  </si>
  <si>
    <t>・図面一覧画面のリスト表示タブを表示していること</t>
  </si>
  <si>
    <t>1.「プレビュー」を押下する</t>
  </si>
  <si>
    <t>・プレビュー表示に切り替わること</t>
  </si>
  <si>
    <t>リスト表示</t>
  </si>
  <si>
    <t>・図面一覧画面のプレビュー表示タブを表示していること</t>
  </si>
  <si>
    <t>1.「リスト」を押下する</t>
  </si>
  <si>
    <t>・リスト表示に切り替わること</t>
  </si>
  <si>
    <t>図面リンク</t>
  </si>
  <si>
    <t>※0件の場合、"0"ではなく"-"表示</t>
  </si>
  <si>
    <t>1.図面の件数リンクを押下する</t>
  </si>
  <si>
    <t>・押下した図面の図面タブが別タブで開くこと</t>
  </si>
  <si>
    <t>関連資料リンク</t>
  </si>
  <si>
    <t>1.関連資料の件数リンクを押下する</t>
  </si>
  <si>
    <t>・押下した図面の該当の関連資料タブが別タブで開くこと</t>
  </si>
  <si>
    <t>CSVダウンロード</t>
  </si>
  <si>
    <t>1.「…」を押下する
2.「CSVダウンロード」を押下する</t>
  </si>
  <si>
    <t>・表示されている図面一覧のCSVダウンロードができること</t>
  </si>
  <si>
    <t>xlsxで一括編集</t>
  </si>
  <si>
    <t>エクスポート</t>
  </si>
  <si>
    <t>1.「…」を押下する
2.「エクセルで図面を一括編集」を押下する
3.「ダウンロード」を押下する</t>
  </si>
  <si>
    <t>・編集用のエクセルファイルをダウンロードできること</t>
  </si>
  <si>
    <t>インポート</t>
  </si>
  <si>
    <t>※正常値でアップロード後にエラーにならないファイルで確認する
※件数が多いと、すべての更新～メール受信までに時間がかかるので要注意</t>
  </si>
  <si>
    <t>4.ダウンロードしたエクセルファイルを編集し、アップロードを行う</t>
  </si>
  <si>
    <t>・エクセルインポートの結果がメールで届き、図面の情報が更新されていること</t>
  </si>
  <si>
    <t>ページング</t>
  </si>
  <si>
    <t>1.画面下部の数字、「&lt;」、「&gt;」を押下する</t>
  </si>
  <si>
    <t>・図面一覧のページングができること</t>
  </si>
  <si>
    <t>図面詳細
(「図面・資料」タブ)_共通</t>
  </si>
  <si>
    <t>ファイル移動</t>
  </si>
  <si>
    <t>タブ内</t>
  </si>
  <si>
    <t>・図面詳細画面(「図面・資料」タブ)を表示していること</t>
  </si>
  <si>
    <t>1.任意の図面をタブ内で移動を行う</t>
  </si>
  <si>
    <t>・タブ内でファイルの移動ができること</t>
  </si>
  <si>
    <t>タブ間</t>
  </si>
  <si>
    <t>1.任意の図面をタブ間で移動を行う</t>
  </si>
  <si>
    <t>・タブ間でファイルの移動ができること</t>
  </si>
  <si>
    <t>図面一覧への戻り遷移</t>
  </si>
  <si>
    <t>プレビュー</t>
  </si>
  <si>
    <t>検索なし</t>
  </si>
  <si>
    <t>・図面詳細画面(「図面・資料」タブ)を表示していること
・図面一覧画面「プレビュー」タブから検索なしで遷移していること</t>
  </si>
  <si>
    <t>1.「←図面一覧」を押下する</t>
  </si>
  <si>
    <t>・図面一覧画面「プレビュー」タブに遷移し、選択した図面位置までスクロールされていること</t>
  </si>
  <si>
    <t>基本的にはOKだが残バグあり</t>
  </si>
  <si>
    <t>プレビュー⇔リストに切り替え後に図面詳細への遷移では発生します！
→確認済</t>
  </si>
  <si>
    <t>検索あり</t>
  </si>
  <si>
    <t>・図面詳細画面(「図面・資料」タブ)を表示していること
・図面一覧画面「プレビュー」タブから検索ありで遷移していること</t>
  </si>
  <si>
    <t>・図面一覧画面「プレビュー」タブに遷移し、選択した図面位置までスクロールされていること
・図面一覧画面の検索条件が保持されていること</t>
  </si>
  <si>
    <t>リスト</t>
  </si>
  <si>
    <t>・図面詳細画面(「図面・資料」タブ)を表示していること
・図面一覧画面「リスト」タブから検索なしで遷移していること</t>
  </si>
  <si>
    <t>・図面一覧画面「リスト」タブに遷移すること
・図面一覧画面の検索条件が保持されていること</t>
  </si>
  <si>
    <t>・図面詳細画面(「図面・資料」タブ)を表示していること
・図面一覧画面「リスト」タブから検索ありで遷移していること</t>
  </si>
  <si>
    <t>再検索</t>
  </si>
  <si>
    <t>・図面詳細画面(「図面・資料」タブ)を表示していること
・図面一覧画面から検索ありで遷移していること</t>
  </si>
  <si>
    <t>1.「←図面一覧」を押下する
2.詳細絞り込みで再度検索を行う
3,ページング操作を行う</t>
  </si>
  <si>
    <t>・詳細絞り込みでの検索内容が正しく表示されること
・ページング操作を正常に行うことができ、図面が正しく表示されていること</t>
  </si>
  <si>
    <t>削除(図面箱)</t>
  </si>
  <si>
    <t>1.「…」を押下する
2.「削除」を押下する
3."delete"と入力する
4.「削除する」を押下する</t>
  </si>
  <si>
    <t>・図面の削除ができること</t>
  </si>
  <si>
    <t>複製</t>
  </si>
  <si>
    <t>新規案件作成なし</t>
  </si>
  <si>
    <t>※書き込みを行わないパターン</t>
  </si>
  <si>
    <t>・図面詳細画面(「図面・資料」タブ)で図面を表示していること</t>
  </si>
  <si>
    <t>1.「…」を押下する
2.「複製」を押下する
3.任意に項目を編集する
4.「次へ」を押下する
5.任意の関連資料を選択する
6.「保存する」を押下する
7.「複製した図面に移動する」を押下する</t>
  </si>
  <si>
    <t>・図面と関連資料が複製され、新規案件が作成されないこと</t>
  </si>
  <si>
    <t>新規案件作成あり</t>
  </si>
  <si>
    <t>※書き込みを行うパターン</t>
  </si>
  <si>
    <t>1.「…」を押下する
2.「複製」を押下する
3.「+書き込み」を押下する
4.任意の内容の書き込みを行う
5.「保存する」を押下する
6.「+ 図面を複製」を押下する
7.任意に項目を編集する
8.「次へ」を押下する
9.任意の関連資料を選択する
10.「新規案件を同時に作成する」のチェックをONにする
11.案件項目に任意の値を入力する
12.「保存する」を押下する
13.「複製した図面に移動する」を押下する</t>
  </si>
  <si>
    <t>・図面と関連資料が複製され、新規案件が作成されること
・書き込みを行った図面ファイルが複製先に追加されていること</t>
  </si>
  <si>
    <t>アップロード者・日時表示</t>
  </si>
  <si>
    <t>プレビューの下にも記載あるかも確認。</t>
  </si>
  <si>
    <t>1.「i」を押下する</t>
  </si>
  <si>
    <t>・アップロード日時/アップロード者が表示されること</t>
  </si>
  <si>
    <t>ファイル名変更</t>
  </si>
  <si>
    <t>1.ファイル名を押下する
2.任意の値を入力する
3.「保存」を押下する</t>
  </si>
  <si>
    <t>・入力したファイル名に変更できること</t>
  </si>
  <si>
    <t>メモ編集</t>
  </si>
  <si>
    <t>1.「メモ」を押下する
2.任意の値を入力する
3.「保存」を押下する</t>
  </si>
  <si>
    <t>・メモの入力/更新ができること</t>
  </si>
  <si>
    <t>分割・回転</t>
  </si>
  <si>
    <t>1.「分割・回転」を押下する
2.任意の変更を行う
3.「保存する」を押下する</t>
  </si>
  <si>
    <t>・変更した通りに分割・回転した内容で保存できること</t>
  </si>
  <si>
    <t>拡大表示(ctrl+拡大)</t>
  </si>
  <si>
    <t>タッチパッドではctrl押さなくても拡大される</t>
  </si>
  <si>
    <t>1.ファイルのプレビューにピンチイン/ピンチアウト操作を行う</t>
  </si>
  <si>
    <t>・拡大/縮小表示ができること</t>
  </si>
  <si>
    <t>類似図面検索</t>
  </si>
  <si>
    <t>最新図面しか検索対象ではない。
同じ図面箱は検索対象から外す。</t>
  </si>
  <si>
    <t>顧客名がデフォルトで入力されていること</t>
  </si>
  <si>
    <t>1.「類似図面」を押下する</t>
  </si>
  <si>
    <t>・類似図面が表示されること</t>
  </si>
  <si>
    <t>ステータス、顧客名、図番、品名、文字、数値、日付、備考</t>
  </si>
  <si>
    <t>2.絞り込み条件を入力/選択する</t>
  </si>
  <si>
    <t>・絞り込み条件に一致した類似図面のみ表示されること</t>
  </si>
  <si>
    <t>図面詳細ボタン</t>
  </si>
  <si>
    <t>3.絞り込み結果から任意の図面の「図面詳細」を押下する</t>
  </si>
  <si>
    <t>・選択した図面の図面詳細画面が別タブで開くこと</t>
  </si>
  <si>
    <t>このファイルの案件</t>
  </si>
  <si>
    <t>1.「このファイルの案件」を押下する
2.「新規案件作成」を押下する</t>
  </si>
  <si>
    <t>・図面に紐づく新規案件が作成できること</t>
  </si>
  <si>
    <t>案件紐づけ</t>
  </si>
  <si>
    <t>1.「このファイルの案件」を押下する
2.任意の案件を選択する
3.「保存する」を押下する</t>
  </si>
  <si>
    <t>・図面に紐づく案件を変更できること</t>
  </si>
  <si>
    <t>1.「複製」を押下する
2.任意のファイル名を入力する
3.「複製を保存する」を押下する</t>
  </si>
  <si>
    <t>・入力したファイル名でファイルが複製されること</t>
  </si>
  <si>
    <t>書き込み</t>
  </si>
  <si>
    <t>拡大/縮小</t>
  </si>
  <si>
    <t>※拡張子の指定は要検討</t>
  </si>
  <si>
    <t>・図面詳細画面(「図面・資料」タブ)を表示していること
・2ページ以上あるファイルであること</t>
  </si>
  <si>
    <t xml:space="preserve">1.「書き込み」を押下する
2.ピンチイン/ピンチアウト操作を行う
</t>
  </si>
  <si>
    <t>書き込み
手動での簡単な動作確認必要</t>
  </si>
  <si>
    <t>直線</t>
  </si>
  <si>
    <t>カラー変更</t>
  </si>
  <si>
    <t>黒、灰、白、赤、青、緑、黄色、オレンジ、紫</t>
  </si>
  <si>
    <t>3.「直線」を押下する
4.任意のカラーを選択する</t>
  </si>
  <si>
    <t>・カラーの選択ができること</t>
  </si>
  <si>
    <t>透明度変更</t>
  </si>
  <si>
    <t>5.透明度を任意に変更する</t>
  </si>
  <si>
    <t>・透明度の選択ができること</t>
  </si>
  <si>
    <t>線の太さ変更</t>
  </si>
  <si>
    <t>極細、細、中、太</t>
  </si>
  <si>
    <t>6.任意の線の太さを選択する</t>
  </si>
  <si>
    <t>・線の太さの選択ができること</t>
  </si>
  <si>
    <t>7.直線の書き込みを行う</t>
  </si>
  <si>
    <t>・選択したカラー、透明度、線の太さで書き込みができること</t>
  </si>
  <si>
    <t>変更</t>
  </si>
  <si>
    <t>カラー、線の太さ、透明度</t>
  </si>
  <si>
    <t>8.入力確定後の直線を押下する
9.カラー、線の太さを変更する</t>
  </si>
  <si>
    <t>・入力確定後の直線のカラー線の太さを変更できること</t>
  </si>
  <si>
    <t>矢印</t>
  </si>
  <si>
    <t>10.「矢印」を押下する
11.任意のカラーを選択する</t>
  </si>
  <si>
    <t>12.透明度を任意に変更する</t>
  </si>
  <si>
    <t>13.任意の線の太さを選択する</t>
  </si>
  <si>
    <t>14.矢印の書き込みを行う</t>
  </si>
  <si>
    <t>カラー、線の太さ</t>
  </si>
  <si>
    <t>15.入力確定後の矢印を押下する
16.カラー、線の太さを変更する</t>
  </si>
  <si>
    <t>・入力確定後の矢印のカラーと線の太さを変更できること</t>
  </si>
  <si>
    <t>四角形</t>
  </si>
  <si>
    <t>17.「四角形」を押下する
18.任意のカラーを選択する</t>
  </si>
  <si>
    <t>19.任意の線の太さを選択する</t>
  </si>
  <si>
    <t>塗りつぶし変更</t>
  </si>
  <si>
    <t>塗りつぶし有、塗りつぶし無</t>
  </si>
  <si>
    <t>20.塗りつぶしのチェックを押下する</t>
  </si>
  <si>
    <t>・塗りつぶしのチェックON/OFFの切り替えができること</t>
  </si>
  <si>
    <t>21.四角形の書き込みを行う</t>
  </si>
  <si>
    <t>・選択したカラー、線の太さ、塗りつぶしで書き込みができること</t>
  </si>
  <si>
    <t>カラー、線の太さ、塗りつぶし</t>
  </si>
  <si>
    <t>22.入力確定後の四角形を押下する
23.カラー、線の太さ、塗りつぶしを変更する</t>
  </si>
  <si>
    <t>・入力確定後の四角形のカラー、線の太さ、塗りつぶしを変更できること</t>
  </si>
  <si>
    <t>円形</t>
  </si>
  <si>
    <t>24.「円形」を押下する
25.任意のカラーを選択する</t>
  </si>
  <si>
    <t>26.任意の線の太さを選択する</t>
  </si>
  <si>
    <t>27.塗りつぶしのチェックを押下する</t>
  </si>
  <si>
    <t>28.四角形の書き込みを行う</t>
  </si>
  <si>
    <t>29.入力確定後の四角形を押下する
30.カラー、線の太さ、塗りつぶしを変更する</t>
  </si>
  <si>
    <t>・入力確定後の円形のカラー、線の太さ、塗りつぶしを変更できること</t>
  </si>
  <si>
    <t>ペン</t>
  </si>
  <si>
    <t>31.「ペン」を押下する
32.任意のカラーを選択する</t>
  </si>
  <si>
    <t>33.任意の線の太さを選択する</t>
  </si>
  <si>
    <t>34.ペンの書き込みを行う</t>
  </si>
  <si>
    <t>・選択したカラーと線の太さで書き込みができること</t>
  </si>
  <si>
    <t>消しゴム</t>
  </si>
  <si>
    <t>※書き込み途中以外のオブジェクトに対しては消しゴム機能は使えない</t>
  </si>
  <si>
    <t>35.消しゴムを押下する
36.任意の太さを選択する
37.書き込み箇所を消す</t>
  </si>
  <si>
    <t>・書き込み途中のペンオブジェクトを消せること</t>
  </si>
  <si>
    <t>38.入力確定後のペンの書き込みを押下する
39.カラー、線の太さを変更する</t>
  </si>
  <si>
    <t>・入力確定後のペンの書き込みのカラー、線の太さを変更できること</t>
  </si>
  <si>
    <t>マーカー</t>
  </si>
  <si>
    <t>黄、緑、ピンク、シアン、ピーチ、ラベンダー</t>
  </si>
  <si>
    <t>40.「マーカー」を押下する
41.任意のカラーを選択する</t>
  </si>
  <si>
    <t>通常、太、極太</t>
  </si>
  <si>
    <t>42.任意の線の太さを選択する</t>
  </si>
  <si>
    <t>43.マーカーの書き込みを行う</t>
  </si>
  <si>
    <t>44.消しゴムを押下する
45.任意の太さを選択する
46.書き込み箇所を消す</t>
  </si>
  <si>
    <t>・書き込み途中のマーカーオブジェクトを消せること</t>
  </si>
  <si>
    <t>47.入力確定後のマーカーの書き込みを押下する
48.カラー、線の太さを変更する</t>
  </si>
  <si>
    <t>・入力確定後のマーカーの書き込みのカラー、線の太さを変更できること</t>
  </si>
  <si>
    <t>テキスト</t>
  </si>
  <si>
    <t>49.「テキスト」を押下する
50.任意のカラーを選択する</t>
  </si>
  <si>
    <t>文字サイズ変更</t>
  </si>
  <si>
    <t>4、6、8、12、14、16、18、24、28、32、48、64</t>
  </si>
  <si>
    <t>51.任意の文字サイズを選択する</t>
  </si>
  <si>
    <t>・文字サイズの選択ができること</t>
  </si>
  <si>
    <t>52.マーカーの書き込みを行う</t>
  </si>
  <si>
    <t>・選択したカラー、線の太さ、文字サイズで書き込みができること</t>
  </si>
  <si>
    <t>53.入力確定後のテキストを押下する
54.文字色、背景色、文字サイズを変更する</t>
  </si>
  <si>
    <t>・入力確定後のテキストの文字色、背景色、文字サイズを変更できること</t>
  </si>
  <si>
    <t>画像</t>
  </si>
  <si>
    <t>挿入</t>
  </si>
  <si>
    <t>55.「画像」を押下する
56.ファイルを選択する</t>
  </si>
  <si>
    <t>・ファイルの挿入ができること</t>
  </si>
  <si>
    <t>スタンプ</t>
  </si>
  <si>
    <t>日付変更</t>
  </si>
  <si>
    <t>57.「スタンプ」を押下する
58.任意の日付を選択する
59.任意のスタンプを選択する</t>
  </si>
  <si>
    <t>・日付とスタンプの選択ができること</t>
  </si>
  <si>
    <t>60.スタンプの書き込みを行う</t>
  </si>
  <si>
    <t>・選択した日付と選択したスタンプで書き込みができること</t>
  </si>
  <si>
    <t>サイズ変更</t>
  </si>
  <si>
    <t>61.スタンプの書き込みをクリックする
62.サイドバーから任意のサイズに変更する</t>
  </si>
  <si>
    <t>・スタンプのサイズを変更できること</t>
  </si>
  <si>
    <t>QR</t>
  </si>
  <si>
    <t>63.「QR」を押下する
64.QRの書き込みを行う</t>
  </si>
  <si>
    <t>・QRの書き込みができること</t>
  </si>
  <si>
    <t>連番</t>
  </si>
  <si>
    <t>数値</t>
  </si>
  <si>
    <t>65.「連番」を押下する
66.任意の数値を選択する</t>
  </si>
  <si>
    <t>・数値の選択ができること</t>
  </si>
  <si>
    <t>67.任意のカラーを選択する</t>
  </si>
  <si>
    <t>形変更</t>
  </si>
  <si>
    <t>68.任意の形を選択する</t>
  </si>
  <si>
    <t>・形の選択ができること</t>
  </si>
  <si>
    <t>サイズ変更(書き込み前)</t>
  </si>
  <si>
    <t>69.任意のサイズを選択する</t>
  </si>
  <si>
    <t>・サイズの選択ができること</t>
  </si>
  <si>
    <t>70.連番の書き込みを行う</t>
  </si>
  <si>
    <t>・選択した数値、カラー、形、サイズの選択したスタンプで書き込みができること</t>
  </si>
  <si>
    <t>サイズ変更(書き込み後)</t>
  </si>
  <si>
    <t>71.連番の書き込みをクリックする
72.サイドバーから任意のサイズに変更する</t>
  </si>
  <si>
    <t>・連番のサイズを変更できること</t>
  </si>
  <si>
    <t>機密情報マスク</t>
  </si>
  <si>
    <t>73.「機密情報マスク」を押下する
74.任意のカラーを選択する</t>
  </si>
  <si>
    <t>※機密情報マスクは回転できないことも確認する</t>
  </si>
  <si>
    <t>75.機密情報マスクの書き込みを行う</t>
  </si>
  <si>
    <t>・選択したカラーで機密情報マスクの書き込みができること</t>
  </si>
  <si>
    <t>一部手動：回転確認</t>
  </si>
  <si>
    <t>移動</t>
  </si>
  <si>
    <t>76.書き込みを行ったものに対してドラック＆ドロップ操作を行う</t>
  </si>
  <si>
    <t>・書き込みを行ったものが移動できること</t>
  </si>
  <si>
    <t>新しいファイルとして保存</t>
  </si>
  <si>
    <t>77.「新しいファイルとして保存」を押下する
78.任意の保存先を選択する
79.任意のファイル名に変更する
80.「保存する」を押下する</t>
  </si>
  <si>
    <t>・指定した保存先とファイル名で新しいファイルとして保存され、プレビューで書き込みの内容通りに表示されていること</t>
  </si>
  <si>
    <t>オブジェクト</t>
  </si>
  <si>
    <t>削除</t>
  </si>
  <si>
    <t>・書き込み画面を表示していること</t>
  </si>
  <si>
    <t>1.任意のオブジェクトを選択する
2.削除アイコンを押下する</t>
  </si>
  <si>
    <t>・該当オブジェクトが削除されること</t>
  </si>
  <si>
    <t>ロック</t>
  </si>
  <si>
    <t>※サイズ変更、移動、回転、削除</t>
  </si>
  <si>
    <t>1.任意のオブジェクトを選択する
2.ロックアイコンを押下する
3.備考の操作を行う
4.手順1と同様のオブジェクトを選択する
5.ロックアイコンを押下する
6.備考の操作を行う</t>
  </si>
  <si>
    <t>・ロック中は変更操作ができないこと
・ロック解除後に変更操作ができること</t>
  </si>
  <si>
    <t>最前面へ移動</t>
  </si>
  <si>
    <t>1.任意のオブジェクトを選択する
2.最前面へ移動アイコンを押下する</t>
  </si>
  <si>
    <t>最背面へ移動</t>
  </si>
  <si>
    <t>1.任意のオブジェクトを選択する
2.最背面へ移動アイコンを押下する</t>
  </si>
  <si>
    <t>・該当オブジェクトが最前面の表示になること</t>
  </si>
  <si>
    <t>1つ戻る</t>
  </si>
  <si>
    <t>1.書き込み、オブジェクトの変更などを行う
2.「1つ戻る」を押下する</t>
  </si>
  <si>
    <t>・1つ前の操作の状態に戻ること</t>
  </si>
  <si>
    <t>1つ進む</t>
  </si>
  <si>
    <t>3.「1つ進む」を押下する</t>
  </si>
  <si>
    <t>・1つ先の操作の状態に戻ること</t>
  </si>
  <si>
    <t>トリミング(画像のみ)</t>
  </si>
  <si>
    <t>※画像 = 「画像」から書き込んだオブジェクト
※スタンプの画像、QRなどはトリミング機能の対象外</t>
  </si>
  <si>
    <t>・書き込み画面を表示していること
・画像オブジェクトの書き込みをしていること</t>
  </si>
  <si>
    <t>1.画像オブジェクトを選択する
2.｢トリミング｣を押下する
3.画像の青枠を選択肢、任意の範囲でトリミングを行う
4.書き込み保存を行う</t>
  </si>
  <si>
    <t>・トリミングができ、選択した範囲でプレビューが作成されること</t>
  </si>
  <si>
    <t>上書き保存</t>
  </si>
  <si>
    <t>原本</t>
  </si>
  <si>
    <t>・図面詳細画面(「図面・資料」タブ)を表示していること
・原本のファイルであること</t>
  </si>
  <si>
    <t xml:space="preserve">1.「書き込み」を押下する
2.任意の書き込みを行う
3.「上書き保存」を押下する
</t>
  </si>
  <si>
    <t>・「上書き保存」が非活性で押下できないこと</t>
  </si>
  <si>
    <t>非原本</t>
  </si>
  <si>
    <t>※非原本=書き込み機能によって生成されたファイル</t>
  </si>
  <si>
    <t>・図面詳細画面(「図面・資料」タブ)を表示していること
・非原本のファイルであること</t>
  </si>
  <si>
    <t xml:space="preserve">1.「書き込み」を押下する
2.任意の書き込みを行う
3.「上書き保存」を押下する
4.「上書き保存する」を押下する
</t>
  </si>
  <si>
    <t>・上書き保存され、プレビューで書き込みの内容通りに表示されていること</t>
  </si>
  <si>
    <t>写真ライブラリ(タブレット)</t>
  </si>
  <si>
    <r>
      <rPr>
        <rFont val="游ゴシック"/>
        <color theme="1"/>
        <sz val="11.0"/>
      </rPr>
      <t xml:space="preserve">タブレットで実施
</t>
    </r>
    <r>
      <rPr>
        <rFont val="游ゴシック"/>
        <color rgb="FFFF0000"/>
        <sz val="11.0"/>
      </rPr>
      <t>※実施するOS/機種については別途相談</t>
    </r>
  </si>
  <si>
    <t>1.「画像」を押下する
2.ファイルを選択する3.「写真を撮る」を押下する
4.写真の撮影を行う
5.「新しいファイルとして保存」を押下する</t>
  </si>
  <si>
    <t>・撮影した写真で書き込みができること</t>
  </si>
  <si>
    <t>写真を撮る(タブレット)</t>
  </si>
  <si>
    <r>
      <rPr>
        <rFont val="游ゴシック"/>
        <color theme="1"/>
        <sz val="11.0"/>
      </rPr>
      <t xml:space="preserve">タブレットで実施
</t>
    </r>
    <r>
      <rPr>
        <rFont val="游ゴシック"/>
        <color rgb="FFFF0000"/>
        <sz val="11.0"/>
      </rPr>
      <t>※実施するOS/機種については別途相談</t>
    </r>
  </si>
  <si>
    <t>1.「画像」を押下する
2.ファイルを選択する
2.「ファイルを選択」を押下する
3.「ファイルを選択」を押下する
4.任意のファイルを選択する
5.「新しいファイルとして保存」を押下する</t>
  </si>
  <si>
    <t>・選択したファイルで書き込みができること</t>
  </si>
  <si>
    <t>再編集</t>
  </si>
  <si>
    <t>1.非原本の図面で「書き込み」を押下する
2.書き込んだ1オブジェクトに対してドラック＆ドロップ操作を行う</t>
  </si>
  <si>
    <t>・オブジェクトの移動ができること</t>
  </si>
  <si>
    <t>複数選択</t>
  </si>
  <si>
    <t>※以下の方法で複数選択を行う
Windows：ctrl + クリック
Mac：cmd + クリック
※どちらかで確認できればOK</t>
  </si>
  <si>
    <t>3.書き込みオブジェクトを複数選択する
4.ドラッグ＆ドロップ操作を行う
5「上書き保存」を押下する</t>
  </si>
  <si>
    <t>・複数選択でオブジェクトの移動ができ、編集した通りに保存されること</t>
  </si>
  <si>
    <t>印刷</t>
  </si>
  <si>
    <t>pdf,PDF,tiff,tif,jpg,jpeg,jpe,png</t>
  </si>
  <si>
    <t>※印刷をどこまで確認するかは要検討(村田の自宅環境では紙での印刷までは確認できない)
※PDF、かつPCのみ</t>
  </si>
  <si>
    <t>・図面詳細画面(「図面・資料」タブ)を表示していること
・PDFの図面があること</t>
  </si>
  <si>
    <t>1.「印刷」を押下する
2.「印刷」を押下する</t>
  </si>
  <si>
    <t>・図面の印刷ができること</t>
  </si>
  <si>
    <t>図面詳細
(「図面・資料」タブ)_図面</t>
  </si>
  <si>
    <t>図面追加</t>
  </si>
  <si>
    <t>ファイルを追加</t>
  </si>
  <si>
    <t>PDF
2D-CAD：DXF, DWG
画像：JPG, JPEG, JPE, BMP, HEIC, HEIF, GIF, PNG, TIF, TIFF, SVG</t>
  </si>
  <si>
    <t>1.「ファイルを追加」を押下する
2.「ファイルを選択」を押下する
3.ファイルを選択する
4.「さらにファイルを選択」を押下する
5.任意のファイルを選択する
6.「保存する」を押下する</t>
  </si>
  <si>
    <t>・選択したファイルの追加ができること</t>
  </si>
  <si>
    <t>1.ファイル部にファイルのドラック＆ドロップ操作を行う</t>
  </si>
  <si>
    <t>・ファイルの追加ができること</t>
  </si>
  <si>
    <r>
      <rPr>
        <rFont val="游ゴシック"/>
        <color theme="1"/>
        <sz val="11.0"/>
      </rPr>
      <t xml:space="preserve">スマホ、タブレットで実施
</t>
    </r>
    <r>
      <rPr>
        <rFont val="游ゴシック"/>
        <color rgb="FFFF0000"/>
        <sz val="11.0"/>
      </rPr>
      <t>※実施するOS/機種については別途相談</t>
    </r>
  </si>
  <si>
    <t>1.「ファイルを追加」を押下する
2.「ファイルを選択」を押下する
3.「写真ライブラリ」を押下する
4.任意の写真を選択する
5.「保存する」を押下する</t>
  </si>
  <si>
    <r>
      <rPr>
        <rFont val="游ゴシック"/>
        <color theme="1"/>
        <sz val="11.0"/>
      </rPr>
      <t xml:space="preserve">スマホ、タブレットで実施
</t>
    </r>
    <r>
      <rPr>
        <rFont val="游ゴシック"/>
        <color rgb="FFFF0000"/>
        <sz val="11.0"/>
      </rPr>
      <t>※実施するOS/機種については別途相談</t>
    </r>
  </si>
  <si>
    <t>1.「ファイルを追加」を押下する
2.「ファイルを選択」を押下する
3.「写真を撮る」を押下する
4.写真の撮影を行う
5.「保存する」を押下する</t>
  </si>
  <si>
    <r>
      <rPr>
        <rFont val="游ゴシック"/>
        <color theme="1"/>
        <sz val="11.0"/>
      </rPr>
      <t xml:space="preserve">スマホ、タブレットで実施
</t>
    </r>
    <r>
      <rPr>
        <rFont val="游ゴシック"/>
        <color rgb="FFFF0000"/>
        <sz val="11.0"/>
      </rPr>
      <t>※実施するOS/機種については別途相談</t>
    </r>
  </si>
  <si>
    <t>1.「ファイルを追加」を押下する
2.「ファイルを選択」を押下する
3.「ファイルを選択」を押下する
4.任意のファイルを選択する
5.「保存する」を押下する</t>
  </si>
  <si>
    <t>分割</t>
  </si>
  <si>
    <t>1.「ファイルを追加」を押下する
2.「ファイルを選択」を押下する
3.「ファイルを選択」を押下する
4.PDFファイルを選択する
5.「複数の図面に分割する」を押下する
6.任意の変更を行い、「PDFを分割する」を押下する
7.「保存する」を押下する</t>
  </si>
  <si>
    <t>・設定した通りにPDFの分割を行えること</t>
  </si>
  <si>
    <t>図面プレビュー</t>
  </si>
  <si>
    <t>1.プレビューを確認する</t>
  </si>
  <si>
    <t>・表示崩れやエラーなどなく、プレビューを確認できること</t>
  </si>
  <si>
    <t>重複マージ</t>
  </si>
  <si>
    <t>重複図面が1件のみの場合、手順2で選択なし</t>
  </si>
  <si>
    <t>・図面詳細画面(「図面・資料」タブ)で図面を表示していること
・重複図面(顧客名と図番)が一致する図面が複数あること</t>
  </si>
  <si>
    <t>1.「重複しているデータがあります」を押下する
2.任意の図面を選択する
3.「選択した図面を統合」を押下する
4.「統合する」を押下する</t>
  </si>
  <si>
    <t>・選択した図面が統合されること</t>
  </si>
  <si>
    <t>図面削除(ファイル削除)</t>
  </si>
  <si>
    <t>1.「削除」を押下する
2.「削除する」を押下する</t>
  </si>
  <si>
    <t>3D-CADプレビュー</t>
  </si>
  <si>
    <t>表示</t>
  </si>
  <si>
    <t>step, iges</t>
  </si>
  <si>
    <t>・図面詳細画面(「図面・資料」タブ)で図面を表示していること
・3D-CADのファイルをアップロードしている図面であること</t>
  </si>
  <si>
    <t>1.3D-CADのファイルを選択する</t>
  </si>
  <si>
    <t>・3D-CADのプレビューが表示できること</t>
  </si>
  <si>
    <t>回転・拡大縮小</t>
  </si>
  <si>
    <t>2.プレビューをクリックしながら上下左右に動かす</t>
  </si>
  <si>
    <t>・プレビューが回転表示できること</t>
  </si>
  <si>
    <t>初期位置に戻る</t>
  </si>
  <si>
    <t>3.「初期位置に戻る」を押下する</t>
  </si>
  <si>
    <t>・プレビューが初期表示に戻ること</t>
  </si>
  <si>
    <t>プレビュー画像を更新</t>
  </si>
  <si>
    <t>1.3D-CADのファイルを選択する
2.任意の向きにプレビュー表示を変更する
3.「プレビュー画像を更新」を押下する</t>
  </si>
  <si>
    <t>・プレビュー表示と同様の向きでサムネイルが作成されること</t>
  </si>
  <si>
    <t>サムネイルなので実施</t>
  </si>
  <si>
    <t>項目</t>
  </si>
  <si>
    <t>編集</t>
  </si>
  <si>
    <t>※ステータス、顧客名、文字項目、数値項目、日付項目の確認は必須</t>
  </si>
  <si>
    <t>1.図面基本項目と図面詳細項目に任意の値を入力/選択する</t>
  </si>
  <si>
    <t>・図面基本項目と図面詳細項目を編集できること</t>
  </si>
  <si>
    <t>OCR</t>
  </si>
  <si>
    <t>※顧客名、文字項目、数値項目、日付項目の確認は必須</t>
  </si>
  <si>
    <t>2.図面基本項目と図面詳細項目にocrで入力する</t>
  </si>
  <si>
    <t>・図面基本項目と図面詳細項目をocrで入力できること</t>
  </si>
  <si>
    <t>保存</t>
  </si>
  <si>
    <t>3.「変更内容を保存する」を押下する</t>
  </si>
  <si>
    <t>・編集した内容が保存されること</t>
  </si>
  <si>
    <t>PDF・画像表示</t>
  </si>
  <si>
    <t>※PDFの場合「PDFを表示」</t>
  </si>
  <si>
    <t>1.「画像を表示」を押下する</t>
  </si>
  <si>
    <t>・別タブで表示中の図面のPDF(画像)を表示できること</t>
  </si>
  <si>
    <t>ダウンロード</t>
  </si>
  <si>
    <t>1.「ダウンロード」を押下する</t>
  </si>
  <si>
    <t>・表示中の図面のダウンロードができること</t>
  </si>
  <si>
    <t>"図面詳細
(「図面・資料」タブ)_組図</t>
  </si>
  <si>
    <t>親図面切り替え</t>
  </si>
  <si>
    <t>・最上位の親図面が複数存在する図面の組図を表示していること</t>
  </si>
  <si>
    <t>1.プルダウンから任意の図面を選択する</t>
  </si>
  <si>
    <t>・選択した図面が最上位の組図の表示に切り替わること</t>
  </si>
  <si>
    <t>図面詳細
(「図面・資料」タブ)_組図</t>
  </si>
  <si>
    <t>既存図面を選択</t>
  </si>
  <si>
    <t>・図面詳細画面(「図面・資料」タブ)で組図を表示していること</t>
  </si>
  <si>
    <t>1.「階層を編集する」を押下する
2.「＋既存図面を選択」を押下する
3.任意の条件を指定する
4.任意の図面を選択する
5.「組図に追加する」を押下する</t>
  </si>
  <si>
    <t>・既存図面を追加できること</t>
  </si>
  <si>
    <t>図面移動</t>
  </si>
  <si>
    <t>ドラッグ＆ドロップ</t>
  </si>
  <si>
    <t>6.表示している図面の配下の図面をドラッグ＆ドロップ操作で移動する</t>
  </si>
  <si>
    <t>・図面の紐づけを変更できること</t>
  </si>
  <si>
    <t>新規図面を追加</t>
  </si>
  <si>
    <t>※図面一覧の新規図面登録の連続入力と同様のフォームのため、一部手順の記載は割愛する</t>
  </si>
  <si>
    <t>7.「+新規図面を追加」を押下する
8.任意のファイルを複数アップロードする
9.「保存して図面情報を入力」を押下する
10.図面情報を保存する
11.組図画面の「保存する」を押下する</t>
  </si>
  <si>
    <t>・新規図面を追加できること</t>
  </si>
  <si>
    <t>1.三点アイコンを押下する
2.「CSVダウンロード」を押下する</t>
  </si>
  <si>
    <t>・組図のCSVをダウンロードできること</t>
  </si>
  <si>
    <t>図面詳細
(「図面・資料」タブ)_関連資料</t>
  </si>
  <si>
    <t>タブグループ</t>
  </si>
  <si>
    <t>・図面詳細画面(「図面・資料」タブ)で組図を表示していること
・関連資料の設定画面でタブグループの設定をしていること</t>
  </si>
  <si>
    <t>1.タブグループ押下する
2.手順1と同様のタブグループを押下する</t>
  </si>
  <si>
    <t>・タブグループの展開/非展開ができること</t>
  </si>
  <si>
    <t>関連資料追加</t>
  </si>
  <si>
    <t>・図面詳細画面(「図面・資料」タブ)で関連資料を表示していること</t>
  </si>
  <si>
    <t>1.「ファイルを追加」を押下する
2.「ファイルを選択」を押下する
3.ファイルを選択する
4.「保存する」を押下する</t>
  </si>
  <si>
    <r>
      <rPr>
        <rFont val="游ゴシック"/>
        <color theme="1"/>
        <sz val="11.0"/>
      </rPr>
      <t xml:space="preserve">スマホ、タブレットで実施
</t>
    </r>
    <r>
      <rPr>
        <rFont val="游ゴシック"/>
        <color rgb="FFFF0000"/>
        <sz val="11.0"/>
      </rPr>
      <t>※実施するOS/機種については別途相談</t>
    </r>
  </si>
  <si>
    <r>
      <rPr>
        <rFont val="游ゴシック"/>
        <color theme="1"/>
        <sz val="11.0"/>
      </rPr>
      <t xml:space="preserve">スマホ、タブレットで実施
</t>
    </r>
    <r>
      <rPr>
        <rFont val="游ゴシック"/>
        <color rgb="FFFF0000"/>
        <sz val="11.0"/>
      </rPr>
      <t>※実施するOS/機種については別途相談</t>
    </r>
  </si>
  <si>
    <r>
      <rPr>
        <rFont val="游ゴシック"/>
        <color theme="1"/>
        <sz val="11.0"/>
      </rPr>
      <t xml:space="preserve">スマホ、タブレットで実施
</t>
    </r>
    <r>
      <rPr>
        <rFont val="游ゴシック"/>
        <color rgb="FFFF0000"/>
        <sz val="11.0"/>
      </rPr>
      <t>※実施するOS/機種については別途相談</t>
    </r>
  </si>
  <si>
    <t>Excelテンプレート</t>
  </si>
  <si>
    <t>1.「ファイルを追加」を押下する
2.任意のExcelテンプレートを選択する</t>
  </si>
  <si>
    <t>・テンプレートの設定通りにxlsxファイルが作成されること</t>
  </si>
  <si>
    <t>関連資料プレビュー</t>
  </si>
  <si>
    <t>関連資料削除</t>
  </si>
  <si>
    <t>・関連資料の削除ができること</t>
  </si>
  <si>
    <t>備考編集</t>
  </si>
  <si>
    <t>1.「備考」を押下する
2.任意の値を入力する
3.「保存」を押下する</t>
  </si>
  <si>
    <t>・備考の編集ができること</t>
  </si>
  <si>
    <t>・図面詳細画面(「図面・資料」タブ)で関連資料を表示していること
・3D-CADのファイルをアップロードしている図面であること</t>
  </si>
  <si>
    <t>Excel編集</t>
  </si>
  <si>
    <t>・図面詳細画面(「図面・資料」タブ)で関連資料を表示していること
・xlsxのファイルをアップロードしている図面であること</t>
  </si>
  <si>
    <t>1.xlsxのファイルを選択する
2.「Excel編集」を押下する
3.任意に編集を行う
4.「保存する」を押下する</t>
  </si>
  <si>
    <t>・Excelの編集/保存ができること</t>
  </si>
  <si>
    <t>※図面タブでも確認を行っているため、細かなパターンでの確認は行わない</t>
  </si>
  <si>
    <t>1.「書き込み」を押下する
2.任意の書き込みを行う
3.「新しいファイルとして保存」を押下する</t>
  </si>
  <si>
    <t>・新しいファイルとして保存され、プレビューで書き込みの内容通りに表示されていること</t>
  </si>
  <si>
    <t>・図面詳細画面(「図面・資料」タブ)を表示していること
・PDFの関連資料があること</t>
  </si>
  <si>
    <t>・関連資料の印刷ができること</t>
  </si>
  <si>
    <t>・表示中の関連資料のダウンロードができること</t>
  </si>
  <si>
    <t>図面詳細
(「案件履歴」タブ)</t>
  </si>
  <si>
    <t>・図面詳細画面(「案件履歴」タブ)を表示していること</t>
  </si>
  <si>
    <t>1.「新規案件」を押下する</t>
  </si>
  <si>
    <t>・別タブで案件詳細画面が開き、新規案件が作成されること</t>
  </si>
  <si>
    <t>項目編集</t>
  </si>
  <si>
    <t>1.任意案件の案件項目の編集を行う</t>
  </si>
  <si>
    <t>・入力/選択した内容で案件項目を編集できること</t>
  </si>
  <si>
    <t>昇順</t>
  </si>
  <si>
    <t>1.任意の項目のテーブルヘッダを押下する
2.「昇順で並び替え(A→Z)」を押下する</t>
  </si>
  <si>
    <t>・押下した項目が昇順の表示に切り替わること</t>
  </si>
  <si>
    <t>降順</t>
  </si>
  <si>
    <t>3.任意の項目のテーブルヘッダを押下する
4.「降順で並び替え(Z→A)」を押下する</t>
  </si>
  <si>
    <t>・押下した項目が降順の表示に切り替わること</t>
  </si>
  <si>
    <t>解除</t>
  </si>
  <si>
    <t>5.並び替え済みの項目のテーブルヘッダを押下する
6.選択済みの並び替えを押下する</t>
  </si>
  <si>
    <t>・並び替えの変更が解除されること</t>
  </si>
  <si>
    <t>列固定</t>
  </si>
  <si>
    <t>1.任意の項目のテーブルヘッダを押下する
2.「列を固定」を押下する</t>
  </si>
  <si>
    <t>・押下した項目の列が固定されること</t>
  </si>
  <si>
    <t>3.列を固定済みの項目のテーブルヘッダを押下する
4.「列を固定」を押下する</t>
  </si>
  <si>
    <t>・押下した項目の列の固定が解除されること</t>
  </si>
  <si>
    <t>案件選択</t>
  </si>
  <si>
    <t>1.任意の案件のチェックボックスを押下する
2.手順1と同様の案件のチェックボックスを押下する</t>
  </si>
  <si>
    <t>・案件の選択/未選択状態が切り替わること</t>
  </si>
  <si>
    <t>1.テーブルヘッダの案件のチェックボックスを押下する
2.テーブルヘッダの案件のチェックボックスを押下する</t>
  </si>
  <si>
    <t>・ページ内の案件の選択/未選択状態が切り替わること</t>
  </si>
  <si>
    <t>表示ステータス変更</t>
  </si>
  <si>
    <t>1.任意の表示ステータス名のタブを押下する</t>
  </si>
  <si>
    <t>・押下したタブ名の表示に切り替わること</t>
  </si>
  <si>
    <t>ステータス更新</t>
  </si>
  <si>
    <t>ステータス変更</t>
  </si>
  <si>
    <t>・図面詳細画面の「案件履歴」タブを表示していること</t>
  </si>
  <si>
    <t>1.任意の案件を選択する
2.「ステータス更新」を押下する
3.画面右上から任意ステータスを選択する</t>
  </si>
  <si>
    <t>・選択したステータスの表示に切り替わること
※保存後の反映確認は後の後続のケースで確認</t>
  </si>
  <si>
    <t>文字項目、数値項目、選択項目、日付項目</t>
  </si>
  <si>
    <t>4.最上部の行に任意の値を入力・選択する
5.「すべての行に反映」を押下する</t>
  </si>
  <si>
    <t>保存してファイルを一括追加</t>
  </si>
  <si>
    <t>7.「保存してファイルを一括追加」を押下する
8.「ファイルを選択」を押下する
9.任意のファイルを選択する</t>
  </si>
  <si>
    <t>・選択したファイル名が表示されること
※保存後の反映確認は後の後続のケースで確認</t>
  </si>
  <si>
    <t>関連資料</t>
  </si>
  <si>
    <t>10.任意の関連資料名を選択する
11.「ファイルを選択」を押下する
12.任意のファイルを選択する
13.「保存する」を押下する</t>
  </si>
  <si>
    <t>・選択したステータスタブが表示されること
・変更した項目、及び保存したファイルが反映されていること</t>
  </si>
  <si>
    <t>リピート案件</t>
  </si>
  <si>
    <t>メモ：一括追加の後は案件のチェックは外れるが正</t>
  </si>
  <si>
    <t>1.任意の案件を選択する
2.「リピート案件」を押下する
3.最上部の行に任意の値を入力・選択する
4.「すべての行に反映」を押下する</t>
  </si>
  <si>
    <t>5.案件行に任意の値を入力・選択する</t>
  </si>
  <si>
    <t>案件を複製(単独選択の場合のみ)</t>
  </si>
  <si>
    <t>6.「案件を複製」を押下する</t>
  </si>
  <si>
    <t>・最下行の案件がコピーされて、最下行に追加されること</t>
  </si>
  <si>
    <t>案件を作成する</t>
  </si>
  <si>
    <t>7.「案件を作成する」を押下する</t>
  </si>
  <si>
    <t>・入力した値の通りに新規案件が作成されること
・図面の紐づけは維持され、関連資料は紐づけが解除されていること</t>
  </si>
  <si>
    <t>1.任意の案件を選択する
2.「最新図面印刷」を押下する</t>
  </si>
  <si>
    <t>・選択した案件の最新図面の印刷プレビューが表示されること</t>
  </si>
  <si>
    <t>・選択した案件の最新図面をダウンロードできること</t>
  </si>
  <si>
    <t>新規帳票</t>
  </si>
  <si>
    <t>品目一覧</t>
  </si>
  <si>
    <t>品目を追加(既存図面から追加)</t>
  </si>
  <si>
    <t>1.任意の案件を選択する
2.「新規帳票」を押下する
3.「見積書」を押下する
4.「品目を追加」を押下する
5.「既存図面から追加」を押下する
6.任意の図面を選択する
7.「追加」を押下する</t>
  </si>
  <si>
    <t>・選択した図面から品目が追加されること</t>
  </si>
  <si>
    <t>品目を追加(図面以外の品目を追加)</t>
  </si>
  <si>
    <t>8.「品目を追加」を押下する
9.「図面以外の品目を追加」を押下する</t>
  </si>
  <si>
    <t>・品目が追加されること</t>
  </si>
  <si>
    <t>案件項目化</t>
  </si>
  <si>
    <t>※案件項目(見積数量、単位、見積単価、見積備考、見積社内メモ、見積番号)
※対応する案件項目に既に値が入っている場合、その値が入力状態</t>
  </si>
  <si>
    <t>・図面詳細画面の「案件履歴」タブを表示していること
・案件項目に値が入っている案件があることこと</t>
  </si>
  <si>
    <t>1.前提条件の案件を選択する
2.「新規帳票」を押下する</t>
  </si>
  <si>
    <t>・案件項目に対応する値が入力されていること</t>
  </si>
  <si>
    <t>・図面詳細画面の「案件履歴」タブを表示していること
・重複図面(顧客名と図番)が一致する図面が複数あること</t>
  </si>
  <si>
    <t>1.任意の案件を選択する
2.「新規帳票」を押下する
3.「見積書」を押下する
4.「重複している可能性がある図面データがあります。」を押下する
5.任意の図面を選択する
6.「選択した図面を統合」を押下する
7.「統合する」を押下する</t>
  </si>
  <si>
    <t>※別の金額パターンを同時に提示</t>
  </si>
  <si>
    <t>1.任意の案件を選択する
2.「新規帳票」を押下する
3.「見積書」を押下する
4.品目一覧タブの各項目を編集する</t>
  </si>
  <si>
    <t>・品目一覧タブの項目の値を編集できること</t>
  </si>
  <si>
    <t>PDFを表示</t>
  </si>
  <si>
    <t>※PDF以外でも「PDFを表示」と表示されている？</t>
  </si>
  <si>
    <t>5.図面プレビューの「PDFを表示」を押下する</t>
  </si>
  <si>
    <t>・別タブで該当ファイルが表示されること</t>
  </si>
  <si>
    <t>図面詳細遷移</t>
  </si>
  <si>
    <t>6.図面プレビューの「図面詳細」を押下する</t>
  </si>
  <si>
    <t>・別タブで該当図面の図面詳細が表示されること</t>
  </si>
  <si>
    <t>見積書情報</t>
  </si>
  <si>
    <t>テンプレートから入力</t>
  </si>
  <si>
    <t>7.「見積書情報」を押下する
8.「以下の項目をテンプレートから入力」を押下する
9.任意のテンプレートを選択する</t>
  </si>
  <si>
    <t>・選択したテンプレートの内容が反映されること</t>
  </si>
  <si>
    <t>※テンプレートから入力した項目も手入力で編集</t>
  </si>
  <si>
    <t>10.見積書情報タブの各項目を編集する</t>
  </si>
  <si>
    <t>・見積書情報タブの項目の値を編集できること</t>
  </si>
  <si>
    <t>11.「プレビュー」を押下する</t>
  </si>
  <si>
    <t>・見積書のプレビューが表示されること</t>
  </si>
  <si>
    <t>共通</t>
  </si>
  <si>
    <t>下書き保存</t>
  </si>
  <si>
    <t>12.「下書き保存」を押下する</t>
  </si>
  <si>
    <t>・下書きの保存ができること</t>
  </si>
  <si>
    <t>見積書を確認する</t>
  </si>
  <si>
    <t>13.「見積書(PDF)を確認する」を押下する</t>
  </si>
  <si>
    <t>・見積書の表示を確認できること</t>
  </si>
  <si>
    <t>見積書を発行する</t>
  </si>
  <si>
    <t>14.案件ステータスを変更するのチェックボックスを押下する
15.任意のステータスを選択する
16.「見積書(PDF)を発行する」を押下する</t>
  </si>
  <si>
    <t>・見積書のPDFがダウンロードされ、該当案件が選択したステータスに変更されること</t>
  </si>
  <si>
    <t>見積書発行</t>
  </si>
  <si>
    <t>※案件一覧側で確認するので、ここでは簡易的な確認のみ</t>
  </si>
  <si>
    <t>1.任意の案件を選択する
2.「新規帳票」を押下する
3.「見積書」を押下する
4.任意の内容で編集を行う
5.「見積書情報の入力に進む」を押下する
6.任意の内容で編集を行う
7.「プレビューを確認する」を押下する
8.「見積書(PDF)を発行する」を押下する</t>
  </si>
  <si>
    <t>納品書発行</t>
  </si>
  <si>
    <t>1.任意の案件を選択する
2.「新規帳票」を押下する
3.「納品書」を押下する
4.任意の内容で編集を行う
5.「納品書情報の入力に進む」を押下する
6.任意の内容で編集を行う
7.「プレビューを確認する」を押下する
8.「納品書(PDF)を発行する」を押下する</t>
  </si>
  <si>
    <t>・納品書のPDFがダウンロードされ、該当案件が選択したステータスに変更されること</t>
  </si>
  <si>
    <t>1.任意の案件を選択する
2.「ファイル追加」を押下する
3.図面と関連資料で任意のファイルを選択する
4.「保存する」を押下する</t>
  </si>
  <si>
    <r>
      <rPr>
        <rFont val="游ゴシック"/>
        <color theme="1"/>
        <sz val="11.0"/>
      </rPr>
      <t xml:space="preserve">タブレットで実施
</t>
    </r>
    <r>
      <rPr>
        <rFont val="游ゴシック"/>
        <color rgb="FFFF0000"/>
        <sz val="11.0"/>
      </rPr>
      <t>※実施するOS/機種については別途相談</t>
    </r>
  </si>
  <si>
    <t>1.任意の案件を選択する
2.「ファイル追加」を押下する
3.「ファイルを選択」を押下する
4.「写真を撮る」を押下する
5.写真の撮影を行う
6.「保存する」を押下する</t>
  </si>
  <si>
    <t>ファイルを選択(タブレット)</t>
  </si>
  <si>
    <r>
      <rPr>
        <rFont val="游ゴシック"/>
        <color theme="1"/>
        <sz val="11.0"/>
      </rPr>
      <t xml:space="preserve">タブレットで実施
</t>
    </r>
    <r>
      <rPr>
        <rFont val="游ゴシック"/>
        <color rgb="FFFF0000"/>
        <sz val="11.0"/>
      </rPr>
      <t>※実施するOS/機種については別途相談</t>
    </r>
  </si>
  <si>
    <t>1.任意の案件を選択する
2.「ファイル追加」を押下する
3.「ファイルを選択」を押下する
4.「ファイルを選択」を押下する
5.任意のファイルを選択する
6.「保存する」を押下する</t>
  </si>
  <si>
    <t>項目編集(一括編集機能)</t>
  </si>
  <si>
    <t>1.任意の案件を選択する
2.「項目編集」を押下する
3.任意の項目を選択する
4.「次へ」を押下する
5.任意の値を宇編集/選択をする
6.「保存する」を押下する</t>
  </si>
  <si>
    <t>・選択した図面の案件項目を一括編集できること</t>
  </si>
  <si>
    <t>1.任意の案件を選択する
2.「削除」を押下する
3."delete"と入力する
4.「削除する」を押下する</t>
  </si>
  <si>
    <t>・案件の削除ができること</t>
  </si>
  <si>
    <t>案件一覧(リスト表示)</t>
  </si>
  <si>
    <t>※案件項目の設定画面で利用する項目になっている、上位3項目が表示される</t>
  </si>
  <si>
    <t>・案件一覧画面を表示していること</t>
  </si>
  <si>
    <t xml:space="preserve">1.絞り込み条件を変更する
※詳細ではなく、案件一覧画面に表示されている3件で確認
</t>
  </si>
  <si>
    <t>・入力/選択した内容で絞り込みが行われること</t>
  </si>
  <si>
    <t>戻り遷移後の動作</t>
  </si>
  <si>
    <t>3.任意の案件の「詳細(鉛筆ボタン)」を押下する
4.「←案件一覧」を押下する
5.詳細絞り込みで再度検索を行う
6,ページング操作を行う</t>
  </si>
  <si>
    <t>詳細絞り込み</t>
  </si>
  <si>
    <t>※多くの項目で試す。</t>
  </si>
  <si>
    <t>1.「詳細絞り込み」を押下する
2.任意の条件を入力/選択する
3.「絞り込み」を押下する</t>
  </si>
  <si>
    <t>・入力/選択した条件で案件一覧の絞り込みが行われること</t>
  </si>
  <si>
    <t>条件の保存</t>
  </si>
  <si>
    <t>1.「詳細絞り込み」を押下する
2.任意の条件を入力/選択する
3.「この条件を保存」を押下する
4.任意の値を入力する
5.「保存する」を押下する</t>
  </si>
  <si>
    <t>・絞り込み条件を保存できること</t>
  </si>
  <si>
    <t>保存した条件の適用</t>
  </si>
  <si>
    <t>6.保存した条件から任意の条件を選択する</t>
  </si>
  <si>
    <t>・保存した条件が絞り込み条件に反映されること</t>
  </si>
  <si>
    <t>条件の削除</t>
  </si>
  <si>
    <t>7.「選択中の条件を削除」を押下する</t>
  </si>
  <si>
    <t>・選択中の条件が削除されること</t>
  </si>
  <si>
    <t>クリア</t>
  </si>
  <si>
    <t>・案件一覧画面を表示していること
・案件一覧画面で絞り込みを行っていること</t>
  </si>
  <si>
    <t>1.「クリア」を押下する</t>
  </si>
  <si>
    <t>・詳細絞り込みが解除されること</t>
  </si>
  <si>
    <t>新規案件</t>
  </si>
  <si>
    <t>保存する</t>
  </si>
  <si>
    <t>※PDFの分割/書き込みあり</t>
  </si>
  <si>
    <t>1.「新規案件作成」を押下する
2.PDFを含むファイルを選択する
3.「分割」を押下する
4.任意の分割を行う
5.任意のページ「このページを複製」を押下する
6.「書き込み」を押下する
7.任意の書き込みを行う
8.「+追加」を押下する
9.「保存する」を押下する
10.「分割された図面を新規追加」を押下する
11.項目に任意の値を入力する
12.「保存する」を押下する</t>
  </si>
  <si>
    <t>・新規案件が作成されること</t>
  </si>
  <si>
    <t>案件を作成して見積作成</t>
  </si>
  <si>
    <t>※PDFの分割/書き込みなし</t>
  </si>
  <si>
    <t>1.「新規案件作成」を押下する
2.案件項目に任意の値を入力/選択する
3.図面にファイルのアップロードを行う
4.「案件を作成して見積もり作成に進む」を押下する</t>
  </si>
  <si>
    <t>・新規案件が作成され、見積書作成の画面が開くこと</t>
  </si>
  <si>
    <t>帳票一覧</t>
  </si>
  <si>
    <t>1.「帳票一覧」を押下する</t>
  </si>
  <si>
    <t>・帳票一覧モーダルが開くこと</t>
  </si>
  <si>
    <t>ここ自動化済でした
→帳票一覧でそもそも開く</t>
  </si>
  <si>
    <t>請求書の下書きを一括作成</t>
  </si>
  <si>
    <t>モーダル表示</t>
  </si>
  <si>
    <t>1.「…」を押下する
2.「請求書の下書きを一括作成」を押下する</t>
  </si>
  <si>
    <t>・請求書の下書き一括作成モーダルが開くこと</t>
  </si>
  <si>
    <t>納品期間の切り替え</t>
  </si>
  <si>
    <t>※納品期間の初期値は現在より1月前</t>
  </si>
  <si>
    <t>3.納品期間を任意に選択する</t>
  </si>
  <si>
    <t>・選択した期間の対象が表示されること</t>
  </si>
  <si>
    <t>締日の絞り込み</t>
  </si>
  <si>
    <t>4.締日を任意に選択する</t>
  </si>
  <si>
    <t>・選択した締日のみ表示されること</t>
  </si>
  <si>
    <t>下書き作成</t>
  </si>
  <si>
    <t>5.任意の顧客のチェックボックスを選択する
6.「請求書の下書きを作成する」を押下する</t>
  </si>
  <si>
    <t>・選択した顧客の請求書の下書きが作成されること</t>
  </si>
  <si>
    <t>・表示されている案件一覧のCSVダウンロードができること</t>
  </si>
  <si>
    <t>カンバン表示に切替</t>
  </si>
  <si>
    <t>1.「…」を押下する
2.「カンバン表示に切替」を押下する</t>
  </si>
  <si>
    <t>・カンバン表示に切り替わること</t>
  </si>
  <si>
    <t>・案件一覧を表示していること</t>
  </si>
  <si>
    <t>1.任意の案件を選択する
2.「ステータス更新」を押下する
3.モーダルの右上から任意ステータスを選択する</t>
  </si>
  <si>
    <t>1.任意の案件を複数選択する
2.「連続書込」を押下する
3.任意の書き込みを行う
4.書き込んだオブジェクトをコピーする(ctrl + c or cmd + c)
5.「新しいファイルとして保存して次へ」を押下する
6.コピーしたオブジェクトををペーストする(ctrl + v or cmd + v)
7.「新しいファイルとして保存して終了」を押下する</t>
  </si>
  <si>
    <t>a</t>
  </si>
  <si>
    <t>見積書発行(通常)</t>
  </si>
  <si>
    <t>この見積書を削除</t>
  </si>
  <si>
    <t>※管理者権限のみ表示</t>
  </si>
  <si>
    <t>1.任意の案件を選択する
2.「新規帳票」を押下する
3.「見積書を作成」を押下する
4.「この見積書を削除」を押下する
5.「削除する」を押下する</t>
  </si>
  <si>
    <t>・見積書の下書きが削除され、案件一覧画面に遷移すること</t>
  </si>
  <si>
    <t>見積書作成</t>
  </si>
  <si>
    <t>・案件一覧画面を表示していること
・重複図面(顧客名と図番)が一致する図面が複数あること</t>
  </si>
  <si>
    <t>1.任意の案件を選択する
2.「新規帳票」を押下する
3.「見積書を作成」を押下する
4.重複の「！」を押下する
5.任意の図面を選択する
6.「選択した図面を統合」を押下する
7.「統合する」を押下する</t>
  </si>
  <si>
    <t>・案件一覧画面を表示していること
・案件項目に値が入っている案件があることこと</t>
  </si>
  <si>
    <t>1.前提条件の案件を選択する
2.「見積書」を押下する</t>
  </si>
  <si>
    <t>明細項目パターン</t>
  </si>
  <si>
    <t>3.「明細項目パターンを変更」を押下する
4.任意の明細項目パターンを押下する</t>
  </si>
  <si>
    <t>・選択した明細項目パターン通りに反映されること</t>
  </si>
  <si>
    <t>既存案件を追加</t>
  </si>
  <si>
    <t>5.「既存案件を追加」を押下する
6.任意の案件を選択する
7.「追加」を押下する</t>
  </si>
  <si>
    <t>・選択した案件が追加されること</t>
  </si>
  <si>
    <t>図面を追加</t>
  </si>
  <si>
    <t>8.「新規案件を作成して追加」を押下する
9.「図面を追加」を押下する
10.任意の図面を選択する
11.「案件を作成して追加」を押下する</t>
  </si>
  <si>
    <t>諸経費を追加</t>
  </si>
  <si>
    <t>12.「新規案件を作成して追加」を押下する
13.「諸経費を追加」を押下する</t>
  </si>
  <si>
    <t>・諸経費項目が追加されること</t>
  </si>
  <si>
    <t>空白行を追加（案件なし）</t>
  </si>
  <si>
    <t>14.「空白行を追加（案件なし）」を押下する</t>
  </si>
  <si>
    <t>パターン追加</t>
  </si>
  <si>
    <t>15.「パターン追加」を押下する</t>
  </si>
  <si>
    <t>・行が追加されること</t>
  </si>
  <si>
    <t>削除アイコン</t>
  </si>
  <si>
    <t>16.任意の行の削除アイコンを押下する
17.「削除する」を押下する</t>
  </si>
  <si>
    <t>・選択した行が削除されること</t>
  </si>
  <si>
    <t>18.各項目を編集する</t>
  </si>
  <si>
    <t>・各項目の値を編集できること</t>
  </si>
  <si>
    <t>図面アイコン</t>
  </si>
  <si>
    <t>19.図面のアイコンを押下する</t>
  </si>
  <si>
    <t>・セミモーダルで図面が表示されること</t>
  </si>
  <si>
    <t>20.セミモーダルの「PDFを表示」を押下する</t>
  </si>
  <si>
    <t>・別タブで図面ファイルが表示されること</t>
  </si>
  <si>
    <t>図面詳細</t>
  </si>
  <si>
    <t>21.セミモーダルの「図面詳細」を押下する</t>
  </si>
  <si>
    <t>22.セミモーダルの「×」を押下する
23.「下書き保存」を押下する</t>
  </si>
  <si>
    <t>見積書情報の入力に進む</t>
  </si>
  <si>
    <t>24.「見積書情報の入力に進む」を押下する</t>
  </si>
  <si>
    <t>・見積書情報の入力に遷移すること</t>
  </si>
  <si>
    <t>25.「以下の項目をテンプレートから入力」を押下する
26.任意のテンプレートを選択する</t>
  </si>
  <si>
    <t>※入力項目、選択項目、ロゴ/印影の画像</t>
  </si>
  <si>
    <t>27.各項目を編集する</t>
  </si>
  <si>
    <t>28.「下書き保存」を押下する</t>
  </si>
  <si>
    <t>プレビューを更新</t>
  </si>
  <si>
    <t>29.「プレビューを更新」を押下する</t>
  </si>
  <si>
    <t>・見積書のプレビューが更新され、顧客名が正式名称で印字されていること</t>
  </si>
  <si>
    <t>30.案件ステータスを変更するのチェックボックスを押下する
31.任意のステータスを選択する
32.「見積書(PDF)を発行する」を押下する</t>
  </si>
  <si>
    <t>見積書発行(Excel)</t>
  </si>
  <si>
    <t>※管理者権限のみ表示
※登録されているテンプレートが1つのみの場合、手順4の選択はスキップ</t>
  </si>
  <si>
    <t>1.任意の案件を選択する
2.「新規帳票」を押下する
3.「Excelで見積書を作成」を押下する
4.任意のテンプレートを選択する
5.「この見積書を削除」を押下する
6.「削除する」を押下する</t>
  </si>
  <si>
    <t>項目連動</t>
  </si>
  <si>
    <t>1.任意の案件を選択する
2.「新規帳票」を押下する
3.「Excelで見積書を作成」を押下する
4.任意のテンプレートを選択する</t>
  </si>
  <si>
    <t>・見積書作成モーダルが開き、テンプレートに設定している項目の値がセルに入力されていること</t>
  </si>
  <si>
    <t>見積パターン追加</t>
  </si>
  <si>
    <t>5.案件行で右クリックする
6.「見積もりパターン追加」を押下する</t>
  </si>
  <si>
    <t>空白行を追加</t>
  </si>
  <si>
    <t>7.案件行で右クリックする
8.「空白行を追加(案件なし)」を押下する</t>
  </si>
  <si>
    <t>行の削除</t>
  </si>
  <si>
    <t>9.案件行で右クリックする
10.「行の削除」を押下する</t>
  </si>
  <si>
    <t>11.各項目を編集する</t>
  </si>
  <si>
    <t>見積書の発行に進む</t>
  </si>
  <si>
    <t>13.「見積書の発行に進む」を押下する</t>
  </si>
  <si>
    <t>・見積書の発行に進むに遷移し、顧客名が正式名称で印字されていること</t>
  </si>
  <si>
    <t>見積書の発行</t>
  </si>
  <si>
    <t>14.案件ステータスを変更するのチェックボックスを押下する
15.任意のステータスを選択する
16.見積発行日を任意の値に変更する
17.「見積書(PDF)を発行する」を押下する</t>
  </si>
  <si>
    <t>この納品書を削除</t>
  </si>
  <si>
    <t>1.任意の案件を選択する
2.「新規帳票」を押下する
3.「納品書を作成」を押下する
4.「この納品書を削除」を押下する
5.「削除する」を押下する</t>
  </si>
  <si>
    <t>・納品書の下書きが削除され、案件一覧画面に遷移すること</t>
  </si>
  <si>
    <t>納品書作成</t>
  </si>
  <si>
    <t>※案件項目(受注数、受注単価、納品数量、単位、納品単価、納品備考、納品社内メモ)
※対応する案件項目に既に値が入っている場合、その値が入力状態
※数量：納品数&gt;受注数、単価：納品単価&gt;受注単価の順で優先して値が入る</t>
  </si>
  <si>
    <t>1.前提条件の案件を選択する
2.「新規帳票」を押下する
3.「納品書を作成」を押下する</t>
  </si>
  <si>
    <t>4.「明細項目パターンを変更」を押下する
5.任意の明細項目パターンを押下する</t>
  </si>
  <si>
    <t>6.「新規案件を作成して追加」を押下する
7.「既存案件を追加」を押下する
8.任意の案件を選択する
9.「追加」を押下する</t>
  </si>
  <si>
    <t>10.「新規案件を作成して追加」を押下する
11.「図面を追加」を押下する</t>
  </si>
  <si>
    <t>12.「空白行を追加（案件なし）」を押下する</t>
  </si>
  <si>
    <t>13.任意の行の削除アイコンを押下する
14.「削除する」を押下する</t>
  </si>
  <si>
    <t>15.各項目を編集する</t>
  </si>
  <si>
    <t>16.図面のアイコンを押下する</t>
  </si>
  <si>
    <t>17.セミモーダルの「PDFを表示」を押下する</t>
  </si>
  <si>
    <t>18.セミモーダルの「図面詳細」を押下する</t>
  </si>
  <si>
    <t>19.セミモーダルの「×」を押下する
20.「下書き保存」を押下する</t>
  </si>
  <si>
    <t>納品書情報の入力に進む</t>
  </si>
  <si>
    <t>21.「納品書情報の入力に進む」を押下する</t>
  </si>
  <si>
    <t>・納品書情報の入力に遷移すること</t>
  </si>
  <si>
    <t>納品書情報</t>
  </si>
  <si>
    <t>22.「以下の項目をテンプレートから入力」を押下する
23.任意のテンプレートを選択する</t>
  </si>
  <si>
    <t>24.各項目を編集する</t>
  </si>
  <si>
    <t>25.「下書き保存」を押下する</t>
  </si>
  <si>
    <t>プレビューを確認する</t>
  </si>
  <si>
    <t>26.「プレビューを更新」を押下する</t>
  </si>
  <si>
    <t>・納品書のプレビューが更新され、顧客名が正式名称で印字されていること</t>
  </si>
  <si>
    <t>※納品書（控）と物品受領書はなるべく見る</t>
  </si>
  <si>
    <t>27.案件ステータスを変更するのチェックボックスを押下する
28.任意のステータスを選択する
29.「納品書(PDF)を発行する」を押下する</t>
  </si>
  <si>
    <t>請求書発行</t>
  </si>
  <si>
    <t>この請求書を削除</t>
  </si>
  <si>
    <t>1.任意の案件を選択する
2.「新規帳票」を押下する
3.「請求書を作成」を押下する
4.「この請求書を削除」を押下する
5.「削除する」を押下する</t>
  </si>
  <si>
    <t>・請求書の下書きが削除され、案件一覧画面に遷移すること</t>
  </si>
  <si>
    <t>請求書作成</t>
  </si>
  <si>
    <t>※案件項目(受注数、受注単価、請求数量、単位、請求単価、請求備考、請求社内メモ)
※対応する案件項目に既に値が入っている場合、その値が入力状態
※数量：請求数&gt;受注数、単価：請求単価&gt;受注単価の順で優先して値が入る</t>
  </si>
  <si>
    <t>1.前提条件の案件を選択する
2.「新規帳票」を押下する
3.「請求書を作成」を押下する</t>
  </si>
  <si>
    <t>12.「諸経費を追加」を押下する</t>
  </si>
  <si>
    <t>10.任意の行の削除アイコンを押下する
11.「削除する」を押下する</t>
  </si>
  <si>
    <t>12.各項目を編集する</t>
  </si>
  <si>
    <t>13.図面のアイコンを押下する</t>
  </si>
  <si>
    <t>14.セミモーダルの「PDFを表示」を押下する</t>
  </si>
  <si>
    <t>15.セミモーダルの「図面詳細」を押下する</t>
  </si>
  <si>
    <t>16.セミモーダルの「×」を押下する
17.「下書き保存」を押下する</t>
  </si>
  <si>
    <t>請求書情報の入力に進む</t>
  </si>
  <si>
    <t>18.「請求書情報の入力に進む」を押下する</t>
  </si>
  <si>
    <t>・請求書情報の入力に遷移すること</t>
  </si>
  <si>
    <t>請求書情報</t>
  </si>
  <si>
    <t>19.「以下の項目をテンプレートから入力」を押下する
20.任意のテンプレートを選択する</t>
  </si>
  <si>
    <t>21.各項目を編集する</t>
  </si>
  <si>
    <t>22.「下書き保存」を押下する</t>
  </si>
  <si>
    <t>23.「プレビューを更新」を押下する</t>
  </si>
  <si>
    <t>・請求書のプレビューが更新され、顧客名が正式名称で印字されていること</t>
  </si>
  <si>
    <t>※請求書発行の部分のみ、繰越金額のチェック有無両方で発行まで行う</t>
  </si>
  <si>
    <t>24.案件ステータスを変更するのチェックボックスを押下する
25.任意のステータスを選択する
26.「請求書(PDF)を発行する」を押下する</t>
  </si>
  <si>
    <t>・請求書のPDFがダウンロードされ、該当案件が選択したステータスに変更されること</t>
  </si>
  <si>
    <r>
      <rPr>
        <rFont val="游ゴシック"/>
        <color theme="1"/>
        <sz val="11.0"/>
      </rPr>
      <t xml:space="preserve">タブレットで実施
</t>
    </r>
    <r>
      <rPr>
        <rFont val="游ゴシック"/>
        <color rgb="FFFF0000"/>
        <sz val="11.0"/>
      </rPr>
      <t>※実施するOS/機種については別途相談</t>
    </r>
  </si>
  <si>
    <r>
      <rPr>
        <rFont val="游ゴシック"/>
        <color theme="1"/>
        <sz val="11.0"/>
      </rPr>
      <t xml:space="preserve">タブレットで実施
</t>
    </r>
    <r>
      <rPr>
        <rFont val="游ゴシック"/>
        <color rgb="FFFF0000"/>
        <sz val="11.0"/>
      </rPr>
      <t>※実施するOS/機種については別途相談</t>
    </r>
  </si>
  <si>
    <t>※図面項目以外で編集できる項目</t>
  </si>
  <si>
    <t>※文字、数値、日付、選択、URLを各1項目ずつ必ず確認</t>
  </si>
  <si>
    <t>表示ステータス切り替え</t>
  </si>
  <si>
    <t>・押下したステータスの表示に切り替わること</t>
  </si>
  <si>
    <t>・案件一覧のページングができること</t>
  </si>
  <si>
    <t>案件一覧(カンバン表示)</t>
  </si>
  <si>
    <t>リスト表示に切替</t>
  </si>
  <si>
    <t>1.「…」を押下する
2.「リスト表示に切替」を押下する</t>
  </si>
  <si>
    <t>カンバン選択</t>
  </si>
  <si>
    <t>1.カンバン名のプルダウンを押下する
2.任意のカンバン名を選択する</t>
  </si>
  <si>
    <t>・選択したカンバン設定の表示に切り替わること</t>
  </si>
  <si>
    <t>カンバン設定を新規作成</t>
  </si>
  <si>
    <t>1.カンバン名のプルダウンを押下する
2.「カンバン設定を新規作成」を押下する
3.任意の値を入力/選択する
4.「保存する」を押下する</t>
  </si>
  <si>
    <t>・カンバン設定を新規作成でき、設定した通りに案件が表示されること</t>
  </si>
  <si>
    <t>カンバン設定の編集</t>
  </si>
  <si>
    <t>1.「カンバンの設定」を押下する
2.任意の値を入力/選択する
3.「保存する」を押下する</t>
  </si>
  <si>
    <t>・カンバン設定を編集でき、設定した通りに案件が表示されること</t>
  </si>
  <si>
    <t>カンバンの削除</t>
  </si>
  <si>
    <t>1.「カンバンの設定」を押下する
2.「この看板を削除」を押下する
3.「削除する」を押下する</t>
  </si>
  <si>
    <t>・カンバンの設定を削除できること</t>
  </si>
  <si>
    <t>1案件</t>
  </si>
  <si>
    <t>1.1案件をドラッグ＆ドロップ操作で他ステータスに移動する</t>
  </si>
  <si>
    <t>・案件をドロップ先のステータスに変更できること</t>
  </si>
  <si>
    <t>複数案件</t>
  </si>
  <si>
    <t>1.案件を複数選択する
2.他ステータスにドラッグ＆ドロップで移動する</t>
  </si>
  <si>
    <t>案件詳細</t>
  </si>
  <si>
    <t>案件削除</t>
  </si>
  <si>
    <t>・案件詳細画面を表示していること</t>
  </si>
  <si>
    <t>1.「…」を押下する
2.「この案件を削除する」を押下する
3.「削除する」を押下する</t>
  </si>
  <si>
    <t>リピート案件作成</t>
  </si>
  <si>
    <t>1.「リピート案件を作成」を押下する
2.最上部の行に任意の値を入力・選択する
3.「すべての行に反映」を押下する</t>
  </si>
  <si>
    <t>4.案件行に任意の値を入力・選択する</t>
  </si>
  <si>
    <t>案件を複製</t>
  </si>
  <si>
    <t>5.「案件を複製」を押下する</t>
  </si>
  <si>
    <t>6.「案件を作成する」を押下する</t>
  </si>
  <si>
    <t>1.図面の「追加」を押下する
2.任意のファイルを選択する
3.「保存する」を押下する</t>
  </si>
  <si>
    <t>・図面の追加ができること</t>
  </si>
  <si>
    <t>写真を撮る(スマホ/タブレット)</t>
  </si>
  <si>
    <r>
      <rPr>
        <rFont val="游ゴシック"/>
        <color theme="1"/>
        <sz val="11.0"/>
      </rPr>
      <t xml:space="preserve">スマホ/タブレットで実施
</t>
    </r>
    <r>
      <rPr>
        <rFont val="游ゴシック"/>
        <color rgb="FFFF0000"/>
        <sz val="11.0"/>
      </rPr>
      <t>※実施するOS/機種については別途相談</t>
    </r>
  </si>
  <si>
    <t>1.図面の「追加」を押下する
2.「写真を撮る」を押下する
3.写真の撮影を行う
4.「保存する」を押下する</t>
  </si>
  <si>
    <t>ファイルを選択(スマホ/タブレット)</t>
  </si>
  <si>
    <r>
      <rPr>
        <rFont val="游ゴシック"/>
        <color theme="1"/>
        <sz val="11.0"/>
      </rPr>
      <t xml:space="preserve">スマホ/タブレットで実施
</t>
    </r>
    <r>
      <rPr>
        <rFont val="游ゴシック"/>
        <color rgb="FFFF0000"/>
        <sz val="11.0"/>
      </rPr>
      <t>※実施するOS/機種については別途相談</t>
    </r>
  </si>
  <si>
    <t>1.図面の「追加」を押下する4.「ファイルを選択」を押下する
2.任意のファイルを選択する
3.「保存する」を押下する</t>
  </si>
  <si>
    <t>1.図面の「追加」を押下する
2.「ファイルを選択」を押下する
3.「ファイルを選択」を押下する
4.PDFファイルを選択する
5.「分割」を押下する
6.任意の変更を行い、「保存する」を押下する
7.「保存する」を押下する</t>
  </si>
  <si>
    <t>メモ表示</t>
  </si>
  <si>
    <t>・案件詳細画面を表示していること
・メモを入力している図面があること</t>
  </si>
  <si>
    <t>1.前提条件の図面のファイル名下部を確認する</t>
  </si>
  <si>
    <t>・メモの入力内容が表示されていること</t>
  </si>
  <si>
    <t>1.図面の三点アイコンを押下する
2.「ダウンロード」を押下する</t>
  </si>
  <si>
    <t>・図面のファイルをダウンロードできること</t>
  </si>
  <si>
    <t>3Dモデルを表示</t>
  </si>
  <si>
    <t>・案件詳細画面を表示していること
・3Dファイルを図面タブにアップロードしていること</t>
  </si>
  <si>
    <t>1.3Dファイル＆図面の三点アイコンを押下する
2.「3Dモデルを表示」を押下する</t>
  </si>
  <si>
    <t>・新規タブで3Dビュワーが開くこと</t>
  </si>
  <si>
    <t>PDF表示</t>
  </si>
  <si>
    <t>※画像の場合は「画像を表示」</t>
  </si>
  <si>
    <t>1.図面の三点アイコンを押下する
2.「PDFを表示」を押下する</t>
  </si>
  <si>
    <t>・別タブでファイルが表示されること</t>
  </si>
  <si>
    <t>ファイル名の変更</t>
  </si>
  <si>
    <t>1.図面の三点アイコンを押下する
2.「ファイル名の変更」を押下する
3.任意のファイル名を入力する
4.「保存」を押下する</t>
  </si>
  <si>
    <t>・ファイル名の変更ができること</t>
  </si>
  <si>
    <t>メモの編集</t>
  </si>
  <si>
    <t>1.図面の三点アイコンを押下する
2.「メモの編集」を押下する
3.任意の値を入力する
4.「保存」を押下する</t>
  </si>
  <si>
    <t>・メモの編集ができること</t>
  </si>
  <si>
    <t>ファイルを削除</t>
  </si>
  <si>
    <t>1.図面の三点アイコンを押下する
2.「ファイルを削除」を押下する
3.「削除する」を押下する</t>
  </si>
  <si>
    <t>・ファイルを削除できること</t>
  </si>
  <si>
    <t>1.図面の「書き込み」を押下する
2.任意の書き込みを行い保存する</t>
  </si>
  <si>
    <t>・書き込んだ内容通りの内容で保存できていること</t>
  </si>
  <si>
    <t>1.図面の「複製」を押下する
2.任意のファイル名を入力する
3.「複製を保存する」を押下する</t>
  </si>
  <si>
    <t>・図面ファイルの複製ができること</t>
  </si>
  <si>
    <t>1.図面の「印刷」を押下する</t>
  </si>
  <si>
    <t>・印刷プレビューが表示されること</t>
  </si>
  <si>
    <t>ライトボックス</t>
  </si>
  <si>
    <t>1.複数ページある図面のサムネイルを押下する
2.「&gt;」を押下する
3.「&lt;」を押下する</t>
  </si>
  <si>
    <t>・複数ページの表示ができること</t>
  </si>
  <si>
    <t>1.関連資料の「追加」を押下する
2.任意のファイルを選択する
3.「さらにファイルを選択」を押下する
4.任意のファイルを選択する
5.「保存する」を押下する</t>
  </si>
  <si>
    <t>・関連資料の追加ができること</t>
  </si>
  <si>
    <r>
      <rPr>
        <rFont val="游ゴシック"/>
        <color theme="1"/>
        <sz val="11.0"/>
      </rPr>
      <t xml:space="preserve">スマホ/タブレットで実施
</t>
    </r>
    <r>
      <rPr>
        <rFont val="游ゴシック"/>
        <color rgb="FFFF0000"/>
        <sz val="11.0"/>
      </rPr>
      <t>※実施するOS/機種については別途相談</t>
    </r>
  </si>
  <si>
    <t>1.関連資料の「追加」を押下する
2.「写真を撮る」を押下する
3.写真の撮影を行う
4.「保存する」を押下する</t>
  </si>
  <si>
    <t>・選択した関連資料にファイルの追加をできること</t>
  </si>
  <si>
    <r>
      <rPr>
        <rFont val="游ゴシック"/>
        <color theme="1"/>
        <sz val="11.0"/>
      </rPr>
      <t xml:space="preserve">スマホ/タブレットで実施
</t>
    </r>
    <r>
      <rPr>
        <rFont val="游ゴシック"/>
        <color rgb="FFFF0000"/>
        <sz val="11.0"/>
      </rPr>
      <t>※実施するOS/機種については別途相談</t>
    </r>
  </si>
  <si>
    <t>1.関連資料の「追加」を押下する4.「ファイルを選択」を押下する
2.任意のファイルを選択する
3.「保存する」を押下する</t>
  </si>
  <si>
    <t>1.関連資料の「追加」を押下する
2.「ファイルを選択」を押下する
3.「ファイルを選択」を押下する
4.PDFファイルを選択する
5.「分割」を押下する
6.任意の変更を行い、「保存する」を押下する
7.「保存する」を押下する</t>
  </si>
  <si>
    <t>1.関連資料の「ダウンロード」を押下する</t>
  </si>
  <si>
    <t>・関連資料のファイルをダウンロードできること</t>
  </si>
  <si>
    <t>・案件詳細画面を表示していること
・3Dファイルを関連資料タブにアップロードしていること</t>
  </si>
  <si>
    <t>1.3Dファイル＆関連資料の三点アイコンを押下する
2.「3Dモデルを表示」を押下する</t>
  </si>
  <si>
    <t>1.関連資料の「PDFを表示」を押下する</t>
  </si>
  <si>
    <t>1.関連資料の三点アイコンを押下する
2.「ファイル名の変更」を押下する
3.任意のファイル名を入力する
4.「保存」を押下する</t>
  </si>
  <si>
    <t>1.関連資料の三点アイコンを押下する
2.「メモの編集」を押下する
3.任意の値を入力する
4.「保存」を押下する</t>
  </si>
  <si>
    <t>ファイルの紐付けを解除</t>
  </si>
  <si>
    <t>1.関連資料の三点アイコンを押下する
2.「ファイルの紐付けを解除」を押下する
3.「紐付けを解除する」を押下する</t>
  </si>
  <si>
    <t>・案件との紐付けが解除されること</t>
  </si>
  <si>
    <t>1.関連資料の三点アイコンを押下する
2.「ファイルを削除」を押下する
3.「削除する」を押下する</t>
  </si>
  <si>
    <t>1.関連資料の「書き込み」を押下する
2.任意の書き込みを行い保存する</t>
  </si>
  <si>
    <t>1.関連資料の「複製」を押下する
2.任意のファイル名を入力する
3.「複製を保存する」を押下する</t>
  </si>
  <si>
    <t>・関連資料ファイルの複製ができること</t>
  </si>
  <si>
    <t>1.関連資料の「印刷」を押下する</t>
  </si>
  <si>
    <t>1.案件項目に任意の値を入力/選択を行う</t>
  </si>
  <si>
    <t>・案件項目の編集ができること</t>
  </si>
  <si>
    <t>2.「保存する」を押下する</t>
  </si>
  <si>
    <t>・編集した内容が保存できること</t>
  </si>
  <si>
    <t>見積書</t>
  </si>
  <si>
    <t>・帳票一覧モーダルの見積書タブを表示していること</t>
  </si>
  <si>
    <t>1.発行状況、顧客名、見積番号で絞り込みを行う</t>
  </si>
  <si>
    <t>・入力/選択した内容で絞り込みができること</t>
  </si>
  <si>
    <t>下書き</t>
  </si>
  <si>
    <t>発行</t>
  </si>
  <si>
    <t>1.下書きのペンアイコンを押下する
2.任意の内容を入力して、見積書発行まで行う</t>
  </si>
  <si>
    <t>・見積書の発行ができること</t>
  </si>
  <si>
    <t>印刷物あり</t>
  </si>
  <si>
    <t>1.下書きの削除アイコンを押下する
2.「削除する」を押下する</t>
  </si>
  <si>
    <t>・下書きの削除ができること</t>
  </si>
  <si>
    <t>発行済み</t>
  </si>
  <si>
    <t>下書きに戻して編集</t>
  </si>
  <si>
    <t>※見積番号は変わらない</t>
  </si>
  <si>
    <t>1.発行済みの見積書のドキュメントアイコンを押下する
2.「下書きに戻して編集」を押下する
3.任意の内容を入力して、見積書発行まで行う</t>
  </si>
  <si>
    <t>・下書きに戻して、見積書の発行ができること</t>
  </si>
  <si>
    <t>印刷物あり（個数1→5）</t>
  </si>
  <si>
    <t>1.発行済みの見積書のドキュメントアイコンを押下する
2.「PDFを表示」を押下する</t>
  </si>
  <si>
    <t>・別タブでPDFが開くこと</t>
  </si>
  <si>
    <t>1.発行済みの見積書のドキュメントアイコンを押下する
2.「印刷」を押下する</t>
  </si>
  <si>
    <t>・印刷プレビューを表示できること</t>
  </si>
  <si>
    <t>キャプチャあり</t>
  </si>
  <si>
    <t>納品書</t>
  </si>
  <si>
    <t>・帳票一覧モーダルの納品書タブを表示していること</t>
  </si>
  <si>
    <t>1.発行状況、顧客名、納品番号で絞り込みを行う</t>
  </si>
  <si>
    <t>1.下書きのペンアイコンを押下する
2.任意の内容を入力して、納品書発行まで行う</t>
  </si>
  <si>
    <t>・納品書の発行ができること</t>
  </si>
  <si>
    <t>※納品番号は変わらない</t>
  </si>
  <si>
    <t>1.発行済みの納品書のドキュメントアイコンを押下する
2.「下書きに戻して編集」を押下する
3.任意の内容を入力して、納品書発行まで行う</t>
  </si>
  <si>
    <t>・下書きに戻して、納品書の発行ができること</t>
  </si>
  <si>
    <t>1.発行済みの納品書のドキュメントアイコンを押下する
2.「PDFを表示」を押下する</t>
  </si>
  <si>
    <t>1.発行済みの納品書のドキュメントアイコンを押下する
2.「印刷」を押下する</t>
  </si>
  <si>
    <t>請求書</t>
  </si>
  <si>
    <t>・帳票一覧モーダルの請求書タブを表示していること</t>
  </si>
  <si>
    <t>1.発行状況、顧客名、請求番号で絞り込みを行う</t>
  </si>
  <si>
    <t>1.下書きの請求書のペンアイコンを押下する
2.任意の内容を入力して、請求書発行まで行う</t>
  </si>
  <si>
    <t>・請求書の発行ができること</t>
  </si>
  <si>
    <t>※請求番号は変わらない</t>
  </si>
  <si>
    <t>1.発行済みの請求書のドキュメントアイコンを押下する
2.「下書きに戻して編集」を押下する
3.任意の内容を入力して、請求書発行まで行う</t>
  </si>
  <si>
    <t>・下書きに戻して、請求書の発行ができること</t>
  </si>
  <si>
    <t>1.発行済みの請求書のドキュメントアイコンを押下する
2.「PDFを表示」を押下する</t>
  </si>
  <si>
    <t>1.発行済みの請求書のドキュメントアイコンを押下する
2.「印刷」を押下する</t>
  </si>
  <si>
    <t>請求書一括発行</t>
  </si>
  <si>
    <t>1.「請求書一括発行」を押下する
2.任意の対象とステータスを選択する
3.「請求書（PDF）を一括発行する」を押下する</t>
  </si>
  <si>
    <t>・請求書の一括発行ができること</t>
  </si>
  <si>
    <t>2026/07/27 実装済
印刷物あり</t>
  </si>
  <si>
    <t>入金管理</t>
  </si>
  <si>
    <t>入金タブ</t>
  </si>
  <si>
    <t>絞込み</t>
  </si>
  <si>
    <t>日付</t>
  </si>
  <si>
    <t>・入金管理(入金タブ)画面を表示していること</t>
  </si>
  <si>
    <t>1.任意の期間の日付を選択する</t>
  </si>
  <si>
    <t>・選択した期間の日付の入金と調整金のみ表示されること</t>
  </si>
  <si>
    <t>顧客名</t>
  </si>
  <si>
    <t>2.任意の顧客名を選択する</t>
  </si>
  <si>
    <t>・選択した顧客名の入金と調整金のみ表示されること</t>
  </si>
  <si>
    <t>入金を記録</t>
  </si>
  <si>
    <t>1.「入金を記録」を押下する
2.各項目に任意の値を入力する
3.「保存する」を押下する</t>
  </si>
  <si>
    <t>・入金の記録ができること</t>
  </si>
  <si>
    <t>調整を記録</t>
  </si>
  <si>
    <t>1.「調整を記録」を押下する
2.各項目に任意の値を入力する
3.「保存する」を押下する</t>
  </si>
  <si>
    <t>・調整の金記録ができること</t>
  </si>
  <si>
    <t>入金</t>
  </si>
  <si>
    <t>1.入金の「編集」を押下する
2.各項目を任意の値に編集し、「保存する」を押下する</t>
  </si>
  <si>
    <t>・入金の編集ができること</t>
  </si>
  <si>
    <t>調整金</t>
  </si>
  <si>
    <t>1.調整の「編集」を押下する
2.各項目を任意の値に編集し、「保存する」を押下する</t>
  </si>
  <si>
    <t>・調整の編集ができること</t>
  </si>
  <si>
    <t>1.入金の「編集」を押下する
2.「入金記録を削除する」を押下する
3.「削除する」を押下する</t>
  </si>
  <si>
    <t>・入金記録の削除ができること</t>
  </si>
  <si>
    <t>1.調整の「編集」を押下する
2.「調整記録を削除する」を押下する
3.「削除する」を押下する</t>
  </si>
  <si>
    <t>・調整記録の削除ができること</t>
  </si>
  <si>
    <t>顧客別取引残高一覧</t>
  </si>
  <si>
    <t>※請求タブでも実施できるが、同動作のため入金タブでの操作のみとする</t>
  </si>
  <si>
    <t>1.「…」を押下する
2.「CSVダウンロード」を押下する
3.任意の請求日の期間を選択する
4.「CSVをダウンロードする」を押下する</t>
  </si>
  <si>
    <t>・顧客別取引残高一覧のCSVをダウンロードできること</t>
  </si>
  <si>
    <t>入金調整履歴一覧</t>
  </si>
  <si>
    <t>1.「…」を押下する
2.「CSVダウンロード」を押下する
3.「入金調整履歴一覧」を押下する
4.任意の請求日の期間を選択する
5.「CSVをダウンロードする」を押下する</t>
  </si>
  <si>
    <t>・入金調整履歴一覧のCSVをダウンロードできること</t>
  </si>
  <si>
    <t>請求タブ</t>
  </si>
  <si>
    <t>・入金管理(請求タブ)画面を表示していること</t>
  </si>
  <si>
    <t>1.任意の顧客名を選択する</t>
  </si>
  <si>
    <t>・選択した顧客名の請求情報のみ表示されること</t>
  </si>
  <si>
    <t>2.任意のステータスを選択する</t>
  </si>
  <si>
    <t>・選択したステータスの請求情報のみ表示されること</t>
  </si>
  <si>
    <t>ステータス表示</t>
  </si>
  <si>
    <t>未入金：未入金金額 &gt; 0 かつ 支払期日が本日以降 かつ 消込済み金額 = 0
一部入金：未入金金額 &gt; 0 かつ 消込済み金額 &gt; 0 かつ 支払期日が本日以降
入金済：未入金金額 = 0
期日超過：未入金金額 &gt; 0 かつ 支払期日が本日より前</t>
  </si>
  <si>
    <t>1.ステータスの表示を確認する</t>
  </si>
  <si>
    <t>・ステータスが仕様通りの表示になっていること
※表示仕様は備考欄を参照</t>
  </si>
  <si>
    <t>請求詳細</t>
  </si>
  <si>
    <t>1.任意の請求書の詳細アイコンを押下する
2.「+入金を記録」を押下する
3.任意の内容を入力し、「保存する」を押下する</t>
  </si>
  <si>
    <t>・請求書への入金記録ができること</t>
  </si>
  <si>
    <t>4.「+調整を記録」を押下する
5.任意の内容を入力し、「保存する」を押下する</t>
  </si>
  <si>
    <t>・請求書への調整記録ができること</t>
  </si>
  <si>
    <t>※入金、調整任意でOK</t>
  </si>
  <si>
    <t>6.編集アイコンを押下する
7.任意の内容を入力し、「保存する」を押下する</t>
  </si>
  <si>
    <t>・入金/調整の編集ができること</t>
  </si>
  <si>
    <t>図面基本項目の設定</t>
  </si>
  <si>
    <t>選択(区分)</t>
  </si>
  <si>
    <t>選択肢追加</t>
  </si>
  <si>
    <t>・図面基本項目の設定画面を表示していること</t>
  </si>
  <si>
    <t>1.区分の「編集」を押下する
2.「選択肢を追加」を押下する
3.任意の値を入力する
4.「保存する」を押下する</t>
  </si>
  <si>
    <t>・ステータスの選択肢を追加できること</t>
  </si>
  <si>
    <t>選択肢削除</t>
  </si>
  <si>
    <t>1.区分の「編集」を押下する
2.「選択肢を追加」を押下する
3.任意の選択しの削除アイコン(ゴミ箱)を押下する
4.「保存する」を押下する</t>
  </si>
  <si>
    <t>・ステータスの選択肢を削除できること</t>
  </si>
  <si>
    <t>選択肢名変更</t>
  </si>
  <si>
    <t>1.区分の「編集」を押下する
2.任意の選択肢の入力欄を任意の値に変更する
3.「保存する」を押下する</t>
  </si>
  <si>
    <t>・ステータスの選択肢名を変更できること</t>
  </si>
  <si>
    <t>色変更</t>
  </si>
  <si>
    <t>1.区分の「編集」を押下する
2.任意の選択肢の色を任意に変更する
3.「保存する」を押下する</t>
  </si>
  <si>
    <t>・ステータスの選択肢の背景色を変更できること</t>
  </si>
  <si>
    <t>入力欄表示変更</t>
  </si>
  <si>
    <t>1.区分の「編集」を押下する
2.入力欄表示を変更する
3.「保存する」を押下する</t>
  </si>
  <si>
    <t>・ステータスの入力欄表示の設定を変更できること</t>
  </si>
  <si>
    <t>文字</t>
  </si>
  <si>
    <t>項目名変更</t>
  </si>
  <si>
    <t>※現行は文字項目で項目名を変更できるのはカスタム図面基本項目のみ</t>
  </si>
  <si>
    <t>1.文字項目の「編集」を押下する
2.項目名を任意の値に変更する
3.「保存する」を押下する</t>
  </si>
  <si>
    <t>・文字項目の項目名を変更できること</t>
  </si>
  <si>
    <t>自動登録変更</t>
  </si>
  <si>
    <t>1.文字項目の「編集」を押下する
2.自動登録を任意に変更する
3.「保存する」を押下する</t>
  </si>
  <si>
    <t>・文字項目の自動登録の設定を変更できること</t>
  </si>
  <si>
    <t>1.文字項目の「編集」を押下する
2.入力欄表示を任意に変更する
3.「保存する」を押下する</t>
  </si>
  <si>
    <t>・文字項目の入力欄表示の設定を変更できること</t>
  </si>
  <si>
    <t>表示/非表示変更</t>
  </si>
  <si>
    <t>1.ドラック＆ドロップ操作で任意の項目を表示する項目から非表示の項目に移動する
2.ドラック＆ドロップ操作で任意の項目を非表示の項目から表示する項目に移動する
3.「表示設定の保存」を押下する</t>
  </si>
  <si>
    <t>・項目の表示/非表示を変更できること</t>
  </si>
  <si>
    <t>表示順変更</t>
  </si>
  <si>
    <t>1.ドラック＆ドロップ操作で任意の項目の表示順を変更する
2.「表示設定の保存」を押下する</t>
  </si>
  <si>
    <t>・項目の表示順を変更できること</t>
  </si>
  <si>
    <t>図面詳細項目の設定</t>
  </si>
  <si>
    <t>・図面詳細項目の設定画面を表示していること</t>
  </si>
  <si>
    <t>1.数値項目の「編集」を押下する
2.項目名を任意の値に変更する
3.「保存する」を押下する</t>
  </si>
  <si>
    <t>・数値項目の項目名を変更できること</t>
  </si>
  <si>
    <t>次回自動化対象</t>
  </si>
  <si>
    <t>1.数値項目の「編集」を押下する
2.自動登録を任意に変更する
3.「保存する」を押下する</t>
  </si>
  <si>
    <t>・数値項目の自動登録の設定を変更できること</t>
  </si>
  <si>
    <t>1.数値項目の「編集」を押下する
2.入力欄表示を任意に変更する
3.「保存する」を押下する</t>
  </si>
  <si>
    <t>・数値項目の入力欄表示の設定を変更できること</t>
  </si>
  <si>
    <t>1.日付項目の「編集」を押下する
2.項目名を任意の値に変更する
3.「保存する」を押下する</t>
  </si>
  <si>
    <t>・日付項目の項目名を変更できること</t>
  </si>
  <si>
    <t>1.日付項目の「編集」を押下する
2.自動登録を任意に変更する
3.「保存する」を押下する</t>
  </si>
  <si>
    <t>・日付項目の自動登録の設定を変更できること</t>
  </si>
  <si>
    <t>1.日付項目の「編集」を押下する
2.入力欄表示を任意に変更する
3.「保存する」を押下する</t>
  </si>
  <si>
    <t>・日付項目の入力欄表示の設定を変更できること</t>
  </si>
  <si>
    <t>1.URL項目の「編集」を押下する
2.項目名を任意の値に変更する
3.「保存する」を押下する</t>
  </si>
  <si>
    <t>・URL項目の項目名を変更できること</t>
  </si>
  <si>
    <t>1.URL項目の「編集」を押下する
2.入力欄表示を任意に変更する
3.「保存する」を押下する</t>
  </si>
  <si>
    <t>・URL項目の入力欄表示の設定を変更できること</t>
  </si>
  <si>
    <t>カスタム項目</t>
  </si>
  <si>
    <t>1.「+新規項目追加」を押下する
2.任意の項目タイプを選択する
3.「次へ」を押下する
4.任意の値を入力/設定する
5.「保存する」を押下する</t>
  </si>
  <si>
    <t>・カスタム項目を追加できること</t>
  </si>
  <si>
    <t>全タイプで確認</t>
  </si>
  <si>
    <t>※値入力など使用されている項目は削除できない</t>
  </si>
  <si>
    <t>1.カスタム項目の「編集」を押下する
2.「この項目を削除する」を押下する
3.「削除する」を押下する</t>
  </si>
  <si>
    <t>・カスタム項目を削除できること</t>
  </si>
  <si>
    <t>関連資料の設定</t>
  </si>
  <si>
    <t>・関連資料の設定画面を表示していること</t>
  </si>
  <si>
    <t>1.「編集」を押下する
2.項目名を任意の値に変更する
3.「保存する」を押下する</t>
  </si>
  <si>
    <t>・項目名の変更をできること</t>
  </si>
  <si>
    <t>グループ変更</t>
  </si>
  <si>
    <t>1.「編集」を押下する
2.グループを任意に変更する
3.「保存する」を押下する</t>
  </si>
  <si>
    <t>・グループの変更をできること</t>
  </si>
  <si>
    <t>Excelテンプレートの設定</t>
  </si>
  <si>
    <t>テンプレートを追加</t>
  </si>
  <si>
    <t>・Excelテンプレートの設定画面を表示していること</t>
  </si>
  <si>
    <t>1.「テンプレートを追加」を押下する
2.任意のxlsxファイルを選択する
3.「保存して次へ」を押下する
4.任意に項目の自動入力を設定する
5.「保存する」を押下する</t>
  </si>
  <si>
    <t>・Excelテンプレートの設定を追加できること</t>
  </si>
  <si>
    <t>1.任意のテンプレートのゴミ箱アイコンを押下する
2.「削除する」を押下する</t>
  </si>
  <si>
    <t>・Excelテンプレートを削除できること</t>
  </si>
  <si>
    <t>スタンプの設定</t>
  </si>
  <si>
    <t>スタンプを追加</t>
  </si>
  <si>
    <t>ラベル印</t>
  </si>
  <si>
    <t>・スタンプの設定画面を表示していること</t>
  </si>
  <si>
    <t>1.「スタンプを追加」を押下する
2.「スタンプを作成する」を押下する
3.任意の値を入力/選択する
4.「保存する」を押下する</t>
  </si>
  <si>
    <t>・ラベル印のスタンプを追加できること</t>
  </si>
  <si>
    <t>日付あり承認印</t>
  </si>
  <si>
    <t>1.「スタンプを追加」を押下する
2.「日付あり承認印」を選択する
3.「スタンプを作成する」を押下する
4.任意の値を入力/選択する
5.「保存する」を押下する</t>
  </si>
  <si>
    <t>・日付あり承認印のスタンプを追加できること</t>
  </si>
  <si>
    <t>画像をアップロード</t>
  </si>
  <si>
    <t>1.「スタンプを追加」を押下する
2.「画像をアップロード」を選択する
3.「スタンプを作成する」を押下する
4.任意のファイルをアップロードする
5.「保存する」を押下する</t>
  </si>
  <si>
    <t>・画像のスタンプを追加できること</t>
  </si>
  <si>
    <t>スタンプの編集</t>
  </si>
  <si>
    <t>1.ラベル印のスタンプの「編集」を押下する
2.任意の値を入力/選択する
3.「保存する」を押下する</t>
  </si>
  <si>
    <t>・ラベル印のスタンプを編集できること</t>
  </si>
  <si>
    <t>1.日付あり承認印のスタンプの「編集」を押下する
2.任意の値を入力/選択する
3.「保存する」を押下する</t>
  </si>
  <si>
    <t>・日付あり承認印のスタンプを編集できること</t>
  </si>
  <si>
    <t>1.任意のスタンプの「編集」を押下する
2.「このスタンプを削除」を押下する
3.「削除する」を押下する</t>
  </si>
  <si>
    <t>・スタンプの削除をできること</t>
  </si>
  <si>
    <t>利用制限の反映確認</t>
  </si>
  <si>
    <t>・スタンプの設定の利用制限で利用できるアカウントを選択で設定しているスタンプがあること
・書き込み画面を表示していること</t>
  </si>
  <si>
    <t>1.「スタンプ」を押下する
2.利用できるアカウントを選択で自アカウントを設定しているスタンプを選択する</t>
  </si>
  <si>
    <t>・利用できるアカウントで自アカウントを選択していないスタンプが表示されず、選択しているスタンプを押せること</t>
  </si>
  <si>
    <t>組図の設定</t>
  </si>
  <si>
    <t>※図面詳細画面で「組図」タブの表示を確認する</t>
  </si>
  <si>
    <t>・組図の設定画面を表示していること</t>
  </si>
  <si>
    <t>1.組図機能を利用するの設定を変更する
2.「保存する」を押下する</t>
  </si>
  <si>
    <t>・組図の設定を変更できること</t>
  </si>
  <si>
    <t>新規図面登録設定</t>
  </si>
  <si>
    <t>※設定ON/OFFそれぞれでの新規図面登録の確認を行う
※設定がONでも、スマホではOFFの時と動作が変わらない</t>
  </si>
  <si>
    <t>・新規図面登録設定画面を表示していること</t>
  </si>
  <si>
    <t>1.新規図面登録設定を変更する
2.「保存する」を押下する</t>
  </si>
  <si>
    <t>・新規図面登録設定を変更できること</t>
  </si>
  <si>
    <t>案件項目の設定
(利用する項目の設定)</t>
  </si>
  <si>
    <t>・案件項目の設定画面「利用する項目の設定」タブを表示していること</t>
  </si>
  <si>
    <t>1.選択項目の「編集」を押下する
2.「選択肢を追加」を押下する
3.任意の値を入力する
4.「保存する」を押下する</t>
  </si>
  <si>
    <t>・選択項目の選択肢を追加できること</t>
  </si>
  <si>
    <t>1.選択項目の「編集」を押下する
2.「選択肢を追加」を押下する
3.任意の選択肢の削除アイコン(ゴミ箱)を押下する
4.「保存する」を押下する</t>
  </si>
  <si>
    <t>・選択項目の選択肢を削除できること</t>
  </si>
  <si>
    <t>※カスタム選択肢項目</t>
  </si>
  <si>
    <t>1.選択項目の「編集」を押下する
2.任意の選択肢の入力欄を任意の値に変更する
3.「保存する」を押下する</t>
  </si>
  <si>
    <t>・選択項目の選択肢名を変更できること</t>
  </si>
  <si>
    <t>1.選択項目の「編集」を押下する
2.入力欄表示を任意に変更する
3.「保存する」を押下する</t>
  </si>
  <si>
    <t>・選択項目の入力欄表示の設定を変更できること</t>
  </si>
  <si>
    <t>1.文字項目の「編集」を押下する
2.任意の選択肢の入力欄を任意の値に変更する
3.「保存する」を押下する</t>
  </si>
  <si>
    <t>・文字項目の選択肢名を変更できること</t>
  </si>
  <si>
    <t>1.数値項目の「編集」を押下する
2.任意の選択肢の入力欄を任意の値に変更する
3.「保存する」を押下する</t>
  </si>
  <si>
    <t>・数値項目の選択肢名を変更できること</t>
  </si>
  <si>
    <t>1.日付項目の「編集」を押下する
2.任意の選択肢の入力欄を任意の値に変更する
3.「保存する」を押下する</t>
  </si>
  <si>
    <t>・日付項目の選択肢名を変更できること</t>
  </si>
  <si>
    <t>案件項目の設定
(ステータスごとの表示設定)</t>
  </si>
  <si>
    <t>・案件項目の設定画面「ステータスごとの表示設定」タブを表示していること</t>
  </si>
  <si>
    <t>1.任意の表示/非表示設定に変更する
2.「保存する」を押下する</t>
  </si>
  <si>
    <t>・案件項目の表示/非表示設定を変更できること</t>
  </si>
  <si>
    <t>案件項目の設定
(日付項目による色の設定)</t>
  </si>
  <si>
    <t>・案件項目の設定画面「日付項目による色の設定」タブを表示していること</t>
  </si>
  <si>
    <t>1.「項目を追加」を押下する
2.追加した行に任意の値で入力/選択する</t>
  </si>
  <si>
    <t>・追加した行の編集ができること</t>
  </si>
  <si>
    <t>3.既に保存済みの行を任意に編集する</t>
  </si>
  <si>
    <t>・行の編集ができること</t>
  </si>
  <si>
    <t>4.「保存する」を押下する</t>
  </si>
  <si>
    <t>・編集内容の保存ができること
・設定した内容通りに案件一覧/履歴に反映されること</t>
  </si>
  <si>
    <t xml:space="preserve">見積書の設定
</t>
  </si>
  <si>
    <t>標準見積書タブ</t>
  </si>
  <si>
    <t>・見積書の設定画面(標準見積書タブ)を表示していること</t>
  </si>
  <si>
    <t>1.任意の明細項目パターンの「編集」を押下する
2.設定名と項目の表示を変更する
3.「保存する」を押下する</t>
  </si>
  <si>
    <t>・明細項目パターンを編集できること</t>
  </si>
  <si>
    <t>見積書の設定</t>
  </si>
  <si>
    <t>作成</t>
  </si>
  <si>
    <t>1.「新規パターンを作成」を押下する
2.設定名と項目の表示を変更する
3.「保存する」を押下する</t>
  </si>
  <si>
    <t>・明細項目パターンを作成できること</t>
  </si>
  <si>
    <t>1.任意の明細項目パターンの「編集」を押下する
2.「この設定を削除」を押下する
3.「削除する」を押下する</t>
  </si>
  <si>
    <t>・明細項目パターンを削除できること</t>
  </si>
  <si>
    <t>テンプレート</t>
  </si>
  <si>
    <t>1.「新規テンプレートを作成」を押下する
2.各項目に任意の値を入力/選択する
3.「保存する」を押下する</t>
  </si>
  <si>
    <t>・見積書の新規テンプレートを作成できること</t>
  </si>
  <si>
    <t>1.任意のテンプレートの「編集」を押下する
2.各項目に任意の値を入力/選択する
3.「保存する」を押下する</t>
  </si>
  <si>
    <t>・見積書のテンプレートの編集ができること</t>
  </si>
  <si>
    <t>1.任意のテンプレートの「編集」を押下する
2.「このテンプレートを削除」を押下する
3.「削除する」を押下する</t>
  </si>
  <si>
    <t>・見積書のテンプレートの削除ができること</t>
  </si>
  <si>
    <t>Excel見積書タブ</t>
  </si>
  <si>
    <t>・見積書の設定画面(Excel見積書タブ)を表示していること</t>
  </si>
  <si>
    <t>1.「テンプレートを追加」を押下する
2.任意のxlsxファイルを選択する
3.「保存して次へ」を押下する
4.任意の設定を行う
5.「保存する」を押下する</t>
  </si>
  <si>
    <t>・Excel見積書のテンプレートの設定を追加できること</t>
  </si>
  <si>
    <t>・Excel見積書のテンプレートを削除できること</t>
  </si>
  <si>
    <t>納品書の設定</t>
  </si>
  <si>
    <t>・納品書の設定画面を表示していること</t>
  </si>
  <si>
    <t>・納品書の新規テンプレートを作成できること</t>
  </si>
  <si>
    <t>・納品書のテンプレートの編集ができること</t>
  </si>
  <si>
    <t>・納品書のテンプレートの削除ができること</t>
  </si>
  <si>
    <t>請求書の設定</t>
  </si>
  <si>
    <t>・請求書の設定画面を表示していること</t>
  </si>
  <si>
    <t>・請求書の新規テンプレートを作成できること</t>
  </si>
  <si>
    <t>1.請求書の任意のテンプレートの「編集」を押下する
2.各項目に任意の値を入力/選択する
3.「保存する」を押下する</t>
  </si>
  <si>
    <t>・請求書のテンプレートの編集ができること</t>
  </si>
  <si>
    <t>・請求書のテンプレートの削除ができること</t>
  </si>
  <si>
    <t>権限管理
(共通)</t>
  </si>
  <si>
    <t>権限の編集</t>
  </si>
  <si>
    <t>権限名の変更</t>
  </si>
  <si>
    <t>・権限管理画面を表示していること</t>
  </si>
  <si>
    <t>1.「権限を編集」を押下する
2.権限名を任意に変更する
3.「保存する」を押下する</t>
  </si>
  <si>
    <t>・権限名の変更ができること</t>
  </si>
  <si>
    <t>権限の追加</t>
  </si>
  <si>
    <t>1.「権限を編集」を押下する
2.「追加」を押下する
3.任意の権限名を入力する
4.「保存する」を押下する</t>
  </si>
  <si>
    <t>・権限の追加ができること</t>
  </si>
  <si>
    <t>権限の削除</t>
  </si>
  <si>
    <t>※削除する権限が設定されているアカウントがあると削除できない</t>
  </si>
  <si>
    <t>1.「権限を編集」を押下する
2.任意の権限名の削除アイコンを押下する
3.「保存する」を押下する</t>
  </si>
  <si>
    <t>・権限の削除ができること</t>
  </si>
  <si>
    <t>権限管理
(基本操作)</t>
  </si>
  <si>
    <t>権限変更</t>
  </si>
  <si>
    <t>・権限管理画面「基本操作」タブを表示していること</t>
  </si>
  <si>
    <t>1.任意の権限に変更を行う
2.「保存する」を押下する</t>
  </si>
  <si>
    <t>・基本操作の権限を変更できること</t>
  </si>
  <si>
    <t>権限管理
(図面基本項目)</t>
  </si>
  <si>
    <t>・権限管理画面「図面基本項目」タブを表示していること</t>
  </si>
  <si>
    <t>・図面基本項目の権限を変更できること</t>
  </si>
  <si>
    <t>権限管理
(図面詳細項目)</t>
  </si>
  <si>
    <t>・権限管理画面「図面詳細項目」タブを表示していること</t>
  </si>
  <si>
    <t>・図面詳細項目の権限を変更できること</t>
  </si>
  <si>
    <t>権限管理
(関連資料)</t>
  </si>
  <si>
    <t>・権限管理画面「関連資料」タブを表示していること</t>
  </si>
  <si>
    <t>・関連資料の権限を変更できること</t>
  </si>
  <si>
    <t>権限管理
(案件項目)</t>
  </si>
  <si>
    <t>・権限管理画面「案件項目」タブを表示していること</t>
  </si>
  <si>
    <t>・案件項目の権限を変更できること</t>
  </si>
  <si>
    <t>利用可能IPアドレスの設定</t>
  </si>
  <si>
    <t>IPアドレスグループ追加</t>
  </si>
  <si>
    <t>※アカウント管理側の変更で制限時のログインは確認する</t>
  </si>
  <si>
    <t>・利用可能IPアドレスの設定画面を表示していること</t>
  </si>
  <si>
    <t>1.「IPアドレスグループを追加」を押下する
2.名前、IPアドレスに任意の値を入力する
3.「保存する」を押下する</t>
  </si>
  <si>
    <t>・IPアドレスグループを追加できること</t>
  </si>
  <si>
    <t>Auto(※)</t>
  </si>
  <si>
    <t>一部手動：制限確認</t>
  </si>
  <si>
    <t>IPアドレスグループ編集</t>
  </si>
  <si>
    <t>1.「編集」を押下する
2.名前、IPアドレスに任意の値を入力する
3.「保存する」を押下する</t>
  </si>
  <si>
    <t>・IPアドレスグループの編集ができること</t>
  </si>
  <si>
    <t>IPアドレスグループ削除</t>
  </si>
  <si>
    <t>1.「編集」を押下する
2.「このIPアドレスグループを削除」を押下する
3.「削除」を押下する</t>
  </si>
  <si>
    <t>・IPアドレスグループを削除できること</t>
  </si>
  <si>
    <t>通知の設定</t>
  </si>
  <si>
    <t>ファイルのアップロード</t>
  </si>
  <si>
    <t>設定変更</t>
  </si>
  <si>
    <t>アカウント単位</t>
  </si>
  <si>
    <t>・通知の設定画面(ファイルのアップロードタブ)を表示していること</t>
  </si>
  <si>
    <t>1.アカウント行のトグルボタンを押下する</t>
  </si>
  <si>
    <t>・通知のON/OFFを変更できること</t>
  </si>
  <si>
    <t>一括変更</t>
  </si>
  <si>
    <t>2.一括変更行のトグルボタンを押下する
3.「変更内容を保存する」を押下する</t>
  </si>
  <si>
    <t>・該当列の通知のON/OFFを変更できること
・変更した通りの内容で保存できること</t>
  </si>
  <si>
    <t>メール受信</t>
  </si>
  <si>
    <t>4.関連資料へのアップロードを行う</t>
  </si>
  <si>
    <t>・設定通りに通知メールが届くこと</t>
  </si>
  <si>
    <t>案件ステータスの入力・変更</t>
  </si>
  <si>
    <t>・通知の設定画面(案件ステータスの入力・変更タブ)を表示していること</t>
  </si>
  <si>
    <t>4.案件のステータス変更を行う</t>
  </si>
  <si>
    <t>自社情報の設定</t>
  </si>
  <si>
    <t>自社情報設定変更</t>
  </si>
  <si>
    <t>・自社情報の設定画面を表示していること</t>
  </si>
  <si>
    <t>1.自社情報の値を任意に変更する
2.「保存する」を押下する</t>
  </si>
  <si>
    <t>・自社情報の設定を変更できること</t>
  </si>
  <si>
    <t>ロゴ変更</t>
  </si>
  <si>
    <t>※登録済みの場合、手順1の前に画像の「×」を押下する</t>
  </si>
  <si>
    <t>1.ロゴの「画像を登録」を押下する
2.任意の画像を選択する
3.「保存する」を押下する</t>
  </si>
  <si>
    <t>・ロゴを変更できること</t>
  </si>
  <si>
    <t>印影変更</t>
  </si>
  <si>
    <t>1.印影の「画像を登録」を押下する
2.任意の画像を選択する
3.「保存する」を押下する</t>
  </si>
  <si>
    <t>・印影を変更できること</t>
  </si>
  <si>
    <t>顧客情報</t>
  </si>
  <si>
    <t>初期値の設定</t>
  </si>
  <si>
    <t>・顧客情報画面を表示していること</t>
  </si>
  <si>
    <t>1.「初期値の設定」を押下する
2.任意の値を入力する
3.「保存する」を押下する</t>
  </si>
  <si>
    <t>・初期値の設定を編集できること</t>
  </si>
  <si>
    <t>顧客の追加</t>
  </si>
  <si>
    <t>1.「顧客を追加」を押下する
2.任意の値を入力する
3.「保存する」を押下する</t>
  </si>
  <si>
    <t>・顧客を追加できること</t>
  </si>
  <si>
    <t>設定の編集</t>
  </si>
  <si>
    <t>1.任意の顧客名の「編集」を押下する
2.任意の値を入力する
3.「保存する」を押下する</t>
  </si>
  <si>
    <t>・顧客名を変更できること</t>
  </si>
  <si>
    <t>顧客名の削除</t>
  </si>
  <si>
    <t>1.任意の顧客名の「編集」を押下する
2.「この顧客を削除」を押下する
2.「削除」を押下する</t>
  </si>
  <si>
    <t>・顧客を削除できること</t>
  </si>
  <si>
    <t>1.ドラック＆ドロップ操作で顧客の表示順を変更する
2.「表示設定の保存」を押下する</t>
  </si>
  <si>
    <t>・顧客の表示順を変更できること</t>
  </si>
  <si>
    <t>言語・タイムゾーン</t>
  </si>
  <si>
    <t>アカウント</t>
  </si>
  <si>
    <t>言語変更</t>
  </si>
  <si>
    <t>・言語・タイムゾーン画面を表示していること</t>
  </si>
  <si>
    <t>1.任意のアカウントの言語を変更する</t>
  </si>
  <si>
    <t>・アカウントの言語設定を変更できること</t>
  </si>
  <si>
    <t>タイムゾーン変更</t>
  </si>
  <si>
    <t>1.任意のアカウントのタイムゾーンを変更する</t>
  </si>
  <si>
    <t>・アカウントのタイムゾーン設定を変更できること</t>
  </si>
  <si>
    <t>新規アカウント招待時の設定</t>
  </si>
  <si>
    <t>1.新規アカウント招待時の言語を変更する</t>
  </si>
  <si>
    <t>・新規アカウント招待時の言語設定を変更できること</t>
  </si>
  <si>
    <t>現行では未実装</t>
  </si>
  <si>
    <t>1.新規アカウント招待時のタイムゾーンを変更する</t>
  </si>
  <si>
    <t>・新規アカウント招待時のタイムゾーン設定を変更できること</t>
  </si>
  <si>
    <t>マイアカウント</t>
  </si>
  <si>
    <t>ログアウト</t>
  </si>
  <si>
    <t>・マイアカウント画面を表示していること</t>
  </si>
  <si>
    <t>1.「ログアウト」を押下する</t>
  </si>
  <si>
    <t>・ログアウトされ、ログイン画面に遷移すること</t>
  </si>
  <si>
    <t>名前</t>
  </si>
  <si>
    <t>1.名前に任意の値を入力する
2.「保存する」を押下する</t>
  </si>
  <si>
    <t>・名前を変更できること</t>
  </si>
  <si>
    <t>メールアドレス</t>
  </si>
  <si>
    <t>1.メールアドレスに任意の値を入力する
2.「保存する」を押下する</t>
  </si>
  <si>
    <t>・メールアドレスを変更できること</t>
  </si>
  <si>
    <t>パスワード</t>
  </si>
  <si>
    <t>1.パスワードに任意の値を入力する
2.「保存する」を押下する</t>
  </si>
  <si>
    <t>・パスワードを変更できること</t>
  </si>
  <si>
    <t>ヘルプ・よくあるご質問</t>
  </si>
  <si>
    <t>1.「ヘルプ・よくあるご質問」を押下する</t>
  </si>
  <si>
    <t>・別タブでヘルプ・よくあるご質問が開くこと</t>
  </si>
  <si>
    <t>利用規約</t>
  </si>
  <si>
    <t>1.「利用規約」を押下する</t>
  </si>
  <si>
    <t>・別タブで利用規約が開くこと</t>
  </si>
  <si>
    <t>プライバシーポリシー</t>
  </si>
  <si>
    <t>1.「プライバシーポリシー」を押下する</t>
  </si>
  <si>
    <t>・別タブでプライバシーポリシーが開くこと</t>
  </si>
  <si>
    <t>アカウント管理</t>
  </si>
  <si>
    <t>アカウント招待</t>
  </si>
  <si>
    <t>※メールは日本語時の内容</t>
  </si>
  <si>
    <t>・アカウント管理画面を表示していること</t>
  </si>
  <si>
    <t>1.「アカウントを招待」を押下する
2.名前、権限、パスワードに任意の値を入力する
3.メールアドレスに受信を確認できるメールアドレスを入力する
4.多要素認証とIPアドレス制限を任意に選択する
5「招待メールを送信」を押下する
6.受信した【ズメーン】メール認証のお願いの「こちらをクリックして認証」を押下する
7.「ログイン画面に戻る」を押下する
8.新規作成したアカウントでログインを行う</t>
  </si>
  <si>
    <t>・アカウントを新規作成でき、ログインできること</t>
  </si>
  <si>
    <t>アカウント削除</t>
  </si>
  <si>
    <t>1.任意のアカウントの「編集」を押下する
2.「アカウント削除」を押下する
3.「削除する」を押下する</t>
  </si>
  <si>
    <t>・アカウントの削除ができること</t>
  </si>
  <si>
    <t>1.任意のアカウントの「編集」を押下する
2.権限を任意に変更する</t>
  </si>
  <si>
    <t>・アカウントの権限を変更できること</t>
  </si>
  <si>
    <t>多要素認証</t>
  </si>
  <si>
    <t>3.多要素認証を任意に変更する</t>
  </si>
  <si>
    <t>・多要素認証を変更できること</t>
  </si>
  <si>
    <t>IPアドレス制限&amp;制限確認</t>
  </si>
  <si>
    <t>※権限が管理者の場合、IPアドレス制限は"制限しない"のみ選択可能</t>
  </si>
  <si>
    <t>4.IPアドレス制限を任意に変更する
5.「保存する」を押下する</t>
  </si>
  <si>
    <t>・アカウントのIPアドレス制限を変更できること
・変更した権限、多要素認証、IPアドレス制限が反映されること</t>
  </si>
  <si>
    <t>操作ログ</t>
  </si>
  <si>
    <t>表示期間変更</t>
  </si>
  <si>
    <t>・操作ログ画面を表示していること</t>
  </si>
  <si>
    <t>1.日付を任意の期間に変更する</t>
  </si>
  <si>
    <t>・変更した期間の操作ログのみ表示されること</t>
  </si>
  <si>
    <t>ユーザID指定</t>
  </si>
  <si>
    <t>1.任意のユーザIDを選択する</t>
  </si>
  <si>
    <t>・選択したユーザIDの操作ログのみ表示されること</t>
  </si>
  <si>
    <t>操作指定</t>
  </si>
  <si>
    <t>1.任意の操作を選択する</t>
  </si>
  <si>
    <t>・選択した操作の操作ログのみ表示されること</t>
  </si>
  <si>
    <t>図面詳細に遷移</t>
  </si>
  <si>
    <t>1.任意の操作ログの画面リンクを押下する</t>
  </si>
  <si>
    <t>・該当の図面詳細画面に遷移すること</t>
  </si>
  <si>
    <t>・操作ログのページングができること</t>
  </si>
  <si>
    <t>グローバルナビゲーション(ヘッダ)</t>
  </si>
  <si>
    <t>ヘルプ</t>
  </si>
  <si>
    <t>言語が反映されているかも確認</t>
  </si>
  <si>
    <t>1.グローバルナビゲーション(ヘッダ)の「ヘルプ」を押下する</t>
  </si>
  <si>
    <t>一部手動：言語確認</t>
  </si>
  <si>
    <t>翻訳漏れ確認</t>
  </si>
  <si>
    <t>※備忘程度の記載のため、具体的な確認内容・範囲はチケットを参照
←リリースする案件の翻訳漏れ確認の備忘程度</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</si>
</sst>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d"/>
  </numFmts>
  <fonts count="34">
    <font>
      <sz val="11.0"/>
      <color theme="1"/>
      <name val="Calibri"/>
      <scheme val="minor"/>
    </font>
    <font>
      <sz val="11.0"/>
      <color theme="1"/>
      <name val="Calibri"/>
    </font>
    <font>
      <color theme="1"/>
      <name val="Calibri"/>
    </font>
    <font>
      <sz val="11.0"/>
      <color theme="1"/>
      <name val="游ゴシック"/>
    </font>
    <font>
      <u/>
      <color rgb="FF0563C1"/>
    </font>
    <font>
      <sz val="11.0"/>
      <color rgb="FF0000FF"/>
      <name val="游ゴシック"/>
    </font>
    <font>
      <u/>
      <color rgb="FF0000FF"/>
    </font>
    <font>
      <color theme="1"/>
      <name val="Calibri"/>
      <scheme val="minor"/>
    </font>
    <font/>
    <font>
      <color rgb="FF0563C1"/>
      <name val="Calibri"/>
      <scheme val="minor"/>
    </font>
    <font>
      <color rgb="FF0563C1"/>
      <name val="Calibri"/>
    </font>
    <font>
      <b/>
      <color rgb="FFFF0000"/>
      <name val="Calibri"/>
    </font>
    <font>
      <color rgb="FFFF0000"/>
      <name val="Calibri"/>
    </font>
    <font>
      <color rgb="FF0000FF"/>
      <name val="Calibri"/>
    </font>
    <font>
      <sz val="11.0"/>
      <color rgb="FF7F7F7F"/>
      <name val="游ゴシック"/>
    </font>
    <font>
      <sz val="11.0"/>
      <color rgb="FFB7B7B7"/>
      <name val="游ゴシック"/>
    </font>
    <font>
      <sz val="11.0"/>
      <color rgb="FFA5A5A5"/>
      <name val="游ゴシック"/>
    </font>
    <font>
      <sz val="11.0"/>
      <color rgb="FFFF0000"/>
      <name val="游ゴシック"/>
    </font>
    <font>
      <sz val="11.0"/>
      <color rgb="FF0000FF"/>
      <name val="Calibri"/>
    </font>
    <font>
      <sz val="11.0"/>
      <color theme="1"/>
      <name val="ＭＳ ゴシック"/>
    </font>
    <font>
      <sz val="11.0"/>
      <color rgb="FF0070C0"/>
      <name val="游ゴシック"/>
    </font>
    <font>
      <sz val="11.0"/>
      <color rgb="FF1D1C1D"/>
      <name val="Noto Sans JP"/>
    </font>
    <font>
      <sz val="11.0"/>
      <color theme="5"/>
      <name val="Calibri"/>
    </font>
    <font>
      <sz val="11.0"/>
      <color theme="4"/>
      <name val="游ゴシック"/>
    </font>
    <font>
      <sz val="11.0"/>
      <color rgb="FF4472C4"/>
      <name val="游ゴシック"/>
    </font>
    <font>
      <sz val="11.0"/>
      <color rgb="FF000000"/>
      <name val="游ゴシック"/>
    </font>
    <font>
      <sz val="11.0"/>
      <color rgb="FF999999"/>
      <name val="游ゴシック"/>
    </font>
    <font>
      <sz val="11.0"/>
      <color rgb="FFFF0000"/>
      <name val="ＭＳ ゴシック"/>
    </font>
    <font>
      <sz val="11.0"/>
      <color theme="1"/>
      <name val="Arial"/>
    </font>
    <font>
      <sz val="11.0"/>
      <color rgb="FF7F7F7F"/>
      <name val="Arial"/>
    </font>
    <font>
      <sz val="11.0"/>
      <color rgb="FFA5A5A5"/>
      <name val="Arial"/>
    </font>
    <font>
      <sz val="11.0"/>
      <color rgb="FFFF0000"/>
      <name val="Arial"/>
    </font>
    <font>
      <sz val="11.0"/>
      <color rgb="FFFF0000"/>
      <name val="Calibri"/>
    </font>
    <font>
      <sz val="11.0"/>
      <color theme="1"/>
      <name val="MS PGothic"/>
    </font>
  </fonts>
  <fills count="10">
    <fill>
      <patternFill patternType="none"/>
    </fill>
    <fill>
      <patternFill patternType="lightGray"/>
    </fill>
    <fill>
      <patternFill patternType="solid">
        <fgColor rgb="FFC9DAF8"/>
        <bgColor rgb="FFC9DAF8"/>
      </patternFill>
    </fill>
    <fill>
      <patternFill patternType="solid">
        <fgColor rgb="FFB7B7B7"/>
        <bgColor rgb="FFB7B7B7"/>
      </patternFill>
    </fill>
    <fill>
      <patternFill patternType="solid">
        <fgColor rgb="FFD9E2F3"/>
        <bgColor rgb="FFD9E2F3"/>
      </patternFill>
    </fill>
    <fill>
      <patternFill patternType="solid">
        <fgColor rgb="FFC5E0B3"/>
        <bgColor rgb="FFC5E0B3"/>
      </patternFill>
    </fill>
    <fill>
      <patternFill patternType="solid">
        <fgColor rgb="FFBFBFBF"/>
        <bgColor rgb="FFBFBFBF"/>
      </patternFill>
    </fill>
    <fill>
      <patternFill patternType="solid">
        <fgColor theme="7"/>
        <bgColor theme="7"/>
      </patternFill>
    </fill>
    <fill>
      <patternFill patternType="solid">
        <fgColor rgb="FFFFFFFF"/>
        <bgColor rgb="FFFFFFFF"/>
      </patternFill>
    </fill>
    <fill>
      <patternFill patternType="solid">
        <fgColor rgb="FFFFF2CC"/>
        <bgColor rgb="FFFFF2CC"/>
      </patternFill>
    </fill>
  </fills>
  <borders count="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102">
    <xf borderId="0" fillId="0" fontId="0" numFmtId="0" xfId="0" applyAlignment="1" applyFont="1">
      <alignment readingOrder="0" shrinkToFit="0" vertical="center" wrapText="0"/>
    </xf>
    <xf borderId="0" fillId="0" fontId="1" numFmtId="0" xfId="0" applyAlignment="1" applyFont="1">
      <alignment vertical="center"/>
    </xf>
    <xf borderId="1" fillId="2" fontId="2" numFmtId="0" xfId="0" applyAlignment="1" applyBorder="1" applyFill="1" applyFont="1">
      <alignment vertical="center"/>
    </xf>
    <xf borderId="0" fillId="0" fontId="2" numFmtId="0" xfId="0" applyAlignment="1" applyFont="1">
      <alignment shrinkToFit="0" vertical="center" wrapText="1"/>
    </xf>
    <xf borderId="1" fillId="3" fontId="2" numFmtId="0" xfId="0" applyAlignment="1" applyBorder="1" applyFill="1" applyFont="1">
      <alignment vertical="center"/>
    </xf>
    <xf borderId="0" fillId="0" fontId="2" numFmtId="0" xfId="0" applyAlignment="1" applyFont="1">
      <alignment shrinkToFit="0" vertical="top" wrapText="1"/>
    </xf>
    <xf borderId="0" fillId="0" fontId="2" numFmtId="0" xfId="0" applyAlignment="1" applyFont="1">
      <alignment readingOrder="0" vertical="center"/>
    </xf>
    <xf borderId="1" fillId="4" fontId="3" numFmtId="0" xfId="0" applyAlignment="1" applyBorder="1" applyFill="1" applyFont="1">
      <alignment vertical="center"/>
    </xf>
    <xf borderId="0" fillId="0" fontId="1" numFmtId="0" xfId="0" applyAlignment="1" applyFont="1">
      <alignment shrinkToFit="0" vertical="center" wrapText="1"/>
    </xf>
    <xf borderId="0" fillId="0" fontId="3" numFmtId="0" xfId="0" applyAlignment="1" applyFont="1">
      <alignment shrinkToFit="0" vertical="center" wrapText="1"/>
    </xf>
    <xf borderId="1" fillId="0" fontId="4" numFmtId="0" xfId="0" applyAlignment="1" applyBorder="1" applyFont="1">
      <alignment readingOrder="0" vertical="center"/>
    </xf>
    <xf borderId="0" fillId="0" fontId="2" numFmtId="0" xfId="0" applyAlignment="1" applyFont="1">
      <alignment vertical="center"/>
    </xf>
    <xf borderId="1" fillId="0" fontId="2" numFmtId="0" xfId="0" applyAlignment="1" applyBorder="1" applyFont="1">
      <alignment horizontal="center" readingOrder="0" vertical="center"/>
    </xf>
    <xf borderId="0" fillId="0" fontId="5" numFmtId="0" xfId="0" applyAlignment="1" applyFont="1">
      <alignment vertical="center"/>
    </xf>
    <xf borderId="1" fillId="0" fontId="2" numFmtId="0" xfId="0" applyAlignment="1" applyBorder="1" applyFont="1">
      <alignment readingOrder="0" vertical="center"/>
    </xf>
    <xf borderId="0" fillId="0" fontId="2" numFmtId="0" xfId="0" applyAlignment="1" applyFont="1">
      <alignment horizontal="left" vertical="center"/>
    </xf>
    <xf borderId="0" fillId="0" fontId="1" numFmtId="0" xfId="0" applyAlignment="1" applyFont="1">
      <alignment horizontal="left" vertical="center"/>
    </xf>
    <xf borderId="1" fillId="0" fontId="3" numFmtId="0" xfId="0" applyAlignment="1" applyBorder="1" applyFont="1">
      <alignment vertical="center"/>
    </xf>
    <xf borderId="1" fillId="0" fontId="6" numFmtId="0" xfId="0" applyAlignment="1" applyBorder="1" applyFont="1">
      <alignment readingOrder="0" vertical="center"/>
    </xf>
    <xf borderId="1" fillId="4" fontId="3" numFmtId="0" xfId="0" applyAlignment="1" applyBorder="1" applyFont="1">
      <alignment shrinkToFit="0" vertical="center" wrapText="1"/>
    </xf>
    <xf borderId="1" fillId="0" fontId="2" numFmtId="0" xfId="0" applyAlignment="1" applyBorder="1" applyFont="1">
      <alignment vertical="center"/>
    </xf>
    <xf borderId="1" fillId="0" fontId="7" numFmtId="0" xfId="0" applyAlignment="1" applyBorder="1" applyFont="1">
      <alignment vertical="center"/>
    </xf>
    <xf borderId="2" fillId="5" fontId="3" numFmtId="0" xfId="0" applyAlignment="1" applyBorder="1" applyFill="1" applyFont="1">
      <alignment horizontal="left" shrinkToFit="0" vertical="top" wrapText="1"/>
    </xf>
    <xf borderId="3" fillId="0" fontId="8" numFmtId="0" xfId="0" applyAlignment="1" applyBorder="1" applyFont="1">
      <alignment vertical="center"/>
    </xf>
    <xf borderId="4" fillId="0" fontId="8" numFmtId="0" xfId="0" applyAlignment="1" applyBorder="1" applyFont="1">
      <alignment vertical="center"/>
    </xf>
    <xf borderId="1" fillId="0" fontId="2" numFmtId="0" xfId="0" applyAlignment="1" applyBorder="1" applyFont="1">
      <alignment horizontal="center" vertical="center"/>
    </xf>
    <xf borderId="1" fillId="5" fontId="3" numFmtId="0" xfId="0" applyAlignment="1" applyBorder="1" applyFont="1">
      <alignment vertical="center"/>
    </xf>
    <xf borderId="1" fillId="0" fontId="9" numFmtId="0" xfId="0" applyAlignment="1" applyBorder="1" applyFont="1">
      <alignment vertical="center"/>
    </xf>
    <xf borderId="1" fillId="6" fontId="3" numFmtId="0" xfId="0" applyAlignment="1" applyBorder="1" applyFill="1" applyFont="1">
      <alignment vertical="center"/>
    </xf>
    <xf borderId="1" fillId="6" fontId="3" numFmtId="0" xfId="0" applyAlignment="1" applyBorder="1" applyFont="1">
      <alignment shrinkToFit="0" vertical="center" wrapText="1"/>
    </xf>
    <xf borderId="1" fillId="0" fontId="10" numFmtId="0" xfId="0" applyAlignment="1" applyBorder="1" applyFont="1">
      <alignment vertical="center"/>
    </xf>
    <xf borderId="1" fillId="7" fontId="3" numFmtId="0" xfId="0" applyAlignment="1" applyBorder="1" applyFill="1" applyFont="1">
      <alignment vertical="center"/>
    </xf>
    <xf borderId="1" fillId="7" fontId="3" numFmtId="0" xfId="0" applyAlignment="1" applyBorder="1" applyFont="1">
      <alignment shrinkToFit="0" vertical="center" wrapText="1"/>
    </xf>
    <xf borderId="0" fillId="0" fontId="2" numFmtId="0" xfId="0" applyAlignment="1" applyFont="1">
      <alignment horizontal="center" vertical="center"/>
    </xf>
    <xf borderId="1" fillId="0" fontId="3" numFmtId="0" xfId="0" applyAlignment="1" applyBorder="1" applyFont="1">
      <alignment horizontal="left" shrinkToFit="0" vertical="top" wrapText="1"/>
    </xf>
    <xf borderId="0" fillId="0" fontId="11" numFmtId="0" xfId="0" applyAlignment="1" applyFont="1">
      <alignment vertical="center"/>
    </xf>
    <xf borderId="1" fillId="0" fontId="3" numFmtId="0" xfId="0" applyAlignment="1" applyBorder="1" applyFont="1">
      <alignment shrinkToFit="0" vertical="top" wrapText="1"/>
    </xf>
    <xf borderId="0" fillId="0" fontId="12" numFmtId="0" xfId="0" applyAlignment="1" applyFont="1">
      <alignment vertical="center"/>
    </xf>
    <xf borderId="1" fillId="0" fontId="3" numFmtId="0" xfId="0" applyAlignment="1" applyBorder="1" applyFont="1">
      <alignment shrinkToFit="0" vertical="center" wrapText="1"/>
    </xf>
    <xf borderId="0" fillId="0" fontId="13" numFmtId="0" xfId="0" applyAlignment="1" applyFont="1">
      <alignment vertical="center"/>
    </xf>
    <xf borderId="0" fillId="0" fontId="3" numFmtId="0" xfId="0" applyAlignment="1" applyFont="1">
      <alignment horizontal="center" shrinkToFit="0" vertical="center" wrapText="1"/>
    </xf>
    <xf borderId="0" fillId="0" fontId="1" numFmtId="0" xfId="0" applyAlignment="1" applyFont="1">
      <alignment horizontal="center" vertical="center"/>
    </xf>
    <xf borderId="1" fillId="0" fontId="14" numFmtId="0" xfId="0" applyAlignment="1" applyBorder="1" applyFont="1">
      <alignment horizontal="left" shrinkToFit="0" vertical="top" wrapText="1"/>
    </xf>
    <xf borderId="1" fillId="0" fontId="15" numFmtId="0" xfId="0" applyAlignment="1" applyBorder="1" applyFont="1">
      <alignment shrinkToFit="0" vertical="top" wrapText="1"/>
    </xf>
    <xf borderId="1" fillId="0" fontId="3" numFmtId="0" xfId="0" applyAlignment="1" applyBorder="1" applyFont="1">
      <alignment readingOrder="0" vertical="center"/>
    </xf>
    <xf borderId="1" fillId="0" fontId="16" numFmtId="0" xfId="0" applyAlignment="1" applyBorder="1" applyFont="1">
      <alignment shrinkToFit="0" vertical="top" wrapText="1"/>
    </xf>
    <xf borderId="1" fillId="0" fontId="17" numFmtId="0" xfId="0" applyAlignment="1" applyBorder="1" applyFont="1">
      <alignment shrinkToFit="0" vertical="center" wrapText="1"/>
    </xf>
    <xf borderId="1" fillId="0" fontId="16" numFmtId="0" xfId="0" applyAlignment="1" applyBorder="1" applyFont="1">
      <alignment horizontal="left" shrinkToFit="0" vertical="top" wrapText="1"/>
    </xf>
    <xf borderId="0" fillId="0" fontId="18" numFmtId="0" xfId="0" applyAlignment="1" applyFont="1">
      <alignment vertical="center"/>
    </xf>
    <xf borderId="0" fillId="0" fontId="1" numFmtId="0" xfId="0" applyAlignment="1" applyFont="1">
      <alignment horizontal="center" shrinkToFit="0" vertical="center" wrapText="1"/>
    </xf>
    <xf borderId="0" fillId="0" fontId="19" numFmtId="0" xfId="0" applyAlignment="1" applyFont="1">
      <alignment horizontal="center" vertical="center"/>
    </xf>
    <xf borderId="0" fillId="0" fontId="20" numFmtId="0" xfId="0" applyAlignment="1" applyFont="1">
      <alignment vertical="center"/>
    </xf>
    <xf borderId="0" fillId="0" fontId="5" numFmtId="0" xfId="0" applyAlignment="1" applyFont="1">
      <alignment shrinkToFit="0" vertical="center" wrapText="1"/>
    </xf>
    <xf borderId="0" fillId="0" fontId="3" numFmtId="0" xfId="0" applyAlignment="1" applyFont="1">
      <alignment horizontal="center" vertical="center"/>
    </xf>
    <xf borderId="0" fillId="8" fontId="21" numFmtId="0" xfId="0" applyAlignment="1" applyFill="1" applyFont="1">
      <alignment horizontal="left" vertical="center"/>
    </xf>
    <xf borderId="1" fillId="0" fontId="14" numFmtId="0" xfId="0" applyAlignment="1" applyBorder="1" applyFont="1">
      <alignment shrinkToFit="0" vertical="top" wrapText="1"/>
    </xf>
    <xf borderId="1" fillId="0" fontId="1" numFmtId="0" xfId="0" applyAlignment="1" applyBorder="1" applyFont="1">
      <alignment shrinkToFit="0" vertical="center" wrapText="1"/>
    </xf>
    <xf borderId="0" fillId="0" fontId="2" numFmtId="164" xfId="0" applyAlignment="1" applyFont="1" applyNumberFormat="1">
      <alignment vertical="center"/>
    </xf>
    <xf borderId="0" fillId="0" fontId="22" numFmtId="0" xfId="0" applyAlignment="1" applyFont="1">
      <alignment horizontal="center" vertical="center"/>
    </xf>
    <xf borderId="0" fillId="0" fontId="3" numFmtId="0" xfId="0" applyAlignment="1" applyFont="1">
      <alignment vertical="center"/>
    </xf>
    <xf borderId="1" fillId="0" fontId="3" numFmtId="0" xfId="0" applyAlignment="1" applyBorder="1" applyFont="1">
      <alignment horizontal="left" vertical="top"/>
    </xf>
    <xf borderId="1" fillId="0" fontId="3" numFmtId="0" xfId="0" applyAlignment="1" applyBorder="1" applyFont="1">
      <alignment vertical="top"/>
    </xf>
    <xf borderId="0" fillId="0" fontId="23" numFmtId="0" xfId="0" applyAlignment="1" applyFont="1">
      <alignment vertical="center"/>
    </xf>
    <xf borderId="1" fillId="0" fontId="14" numFmtId="0" xfId="0" applyAlignment="1" applyBorder="1" applyFont="1">
      <alignment horizontal="left" vertical="top"/>
    </xf>
    <xf borderId="0" fillId="0" fontId="19" numFmtId="0" xfId="0" applyAlignment="1" applyFont="1">
      <alignment vertical="center"/>
    </xf>
    <xf borderId="0" fillId="0" fontId="24" numFmtId="0" xfId="0" applyAlignment="1" applyFont="1">
      <alignment vertical="center"/>
    </xf>
    <xf borderId="0" fillId="0" fontId="24" numFmtId="0" xfId="0" applyAlignment="1" applyFont="1">
      <alignment shrinkToFit="0" vertical="center" wrapText="1"/>
    </xf>
    <xf borderId="5" fillId="0" fontId="3" numFmtId="0" xfId="0" applyAlignment="1" applyBorder="1" applyFont="1">
      <alignment vertical="center"/>
    </xf>
    <xf borderId="5" fillId="0" fontId="23" numFmtId="0" xfId="0" applyAlignment="1" applyBorder="1" applyFont="1">
      <alignment vertical="center"/>
    </xf>
    <xf borderId="0" fillId="0" fontId="19" numFmtId="0" xfId="0" applyAlignment="1" applyFont="1">
      <alignment shrinkToFit="0" vertical="center" wrapText="1"/>
    </xf>
    <xf borderId="0" fillId="0" fontId="17" numFmtId="0" xfId="0" applyAlignment="1" applyFont="1">
      <alignment vertical="center"/>
    </xf>
    <xf borderId="1" fillId="0" fontId="16" numFmtId="0" xfId="0" applyAlignment="1" applyBorder="1" applyFont="1">
      <alignment horizontal="left" vertical="top"/>
    </xf>
    <xf borderId="1" fillId="0" fontId="25" numFmtId="0" xfId="0" applyAlignment="1" applyBorder="1" applyFont="1">
      <alignment horizontal="left" shrinkToFit="0" vertical="top" wrapText="1"/>
    </xf>
    <xf borderId="1" fillId="0" fontId="26" numFmtId="0" xfId="0" applyAlignment="1" applyBorder="1" applyFont="1">
      <alignment shrinkToFit="0" vertical="top" wrapText="1"/>
    </xf>
    <xf borderId="0" fillId="0" fontId="27" numFmtId="0" xfId="0" applyAlignment="1" applyFont="1">
      <alignment horizontal="center" shrinkToFit="0" vertical="center" wrapText="1"/>
    </xf>
    <xf borderId="1" fillId="0" fontId="28" numFmtId="0" xfId="0" applyAlignment="1" applyBorder="1" applyFont="1">
      <alignment readingOrder="0" shrinkToFit="0" vertical="top" wrapText="1"/>
    </xf>
    <xf borderId="1" fillId="0" fontId="3" numFmtId="0" xfId="0" applyAlignment="1" applyBorder="1" applyFont="1">
      <alignment readingOrder="0" shrinkToFit="0" vertical="center" wrapText="1"/>
    </xf>
    <xf borderId="0" fillId="0" fontId="5" numFmtId="0" xfId="0" applyAlignment="1" applyFont="1">
      <alignment readingOrder="0" vertical="center"/>
    </xf>
    <xf borderId="0" fillId="0" fontId="2" numFmtId="0" xfId="0" applyAlignment="1" applyFont="1">
      <alignment horizontal="center" readingOrder="0" vertical="center"/>
    </xf>
    <xf borderId="1" fillId="0" fontId="29" numFmtId="0" xfId="0" applyAlignment="1" applyBorder="1" applyFont="1">
      <alignment shrinkToFit="0" vertical="top" wrapText="1"/>
    </xf>
    <xf borderId="1" fillId="0" fontId="28" numFmtId="0" xfId="0" applyAlignment="1" applyBorder="1" applyFont="1">
      <alignment shrinkToFit="0" vertical="top" wrapText="1"/>
    </xf>
    <xf borderId="1" fillId="0" fontId="1" numFmtId="0" xfId="0" applyAlignment="1" applyBorder="1" applyFont="1">
      <alignment vertical="top"/>
    </xf>
    <xf borderId="1" fillId="0" fontId="1" numFmtId="0" xfId="0" applyAlignment="1" applyBorder="1" applyFont="1">
      <alignment vertical="center"/>
    </xf>
    <xf borderId="1" fillId="0" fontId="28" numFmtId="0" xfId="0" applyAlignment="1" applyBorder="1" applyFont="1">
      <alignment vertical="center"/>
    </xf>
    <xf borderId="1" fillId="0" fontId="28" numFmtId="0" xfId="0" applyAlignment="1" applyBorder="1" applyFont="1">
      <alignment shrinkToFit="0" vertical="center" wrapText="1"/>
    </xf>
    <xf borderId="1" fillId="0" fontId="30" numFmtId="0" xfId="0" applyAlignment="1" applyBorder="1" applyFont="1">
      <alignment shrinkToFit="0" vertical="top" wrapText="1"/>
    </xf>
    <xf borderId="1" fillId="0" fontId="31" numFmtId="0" xfId="0" applyAlignment="1" applyBorder="1" applyFont="1">
      <alignment shrinkToFit="0" vertical="center" wrapText="1"/>
    </xf>
    <xf borderId="1" fillId="0" fontId="28" numFmtId="0" xfId="0" applyAlignment="1" applyBorder="1" applyFont="1">
      <alignment readingOrder="0" shrinkToFit="0" vertical="center" wrapText="1"/>
    </xf>
    <xf borderId="1" fillId="0" fontId="32" numFmtId="0" xfId="0" applyAlignment="1" applyBorder="1" applyFont="1">
      <alignment shrinkToFit="0" vertical="center" wrapText="1"/>
    </xf>
    <xf borderId="1" fillId="0" fontId="28" numFmtId="0" xfId="0" applyAlignment="1" applyBorder="1" applyFont="1">
      <alignment vertical="top"/>
    </xf>
    <xf borderId="0" fillId="0" fontId="33" numFmtId="0" xfId="0" applyAlignment="1" applyFont="1">
      <alignment horizontal="center" vertical="center"/>
    </xf>
    <xf borderId="1" fillId="9" fontId="14" numFmtId="0" xfId="0" applyAlignment="1" applyBorder="1" applyFill="1" applyFont="1">
      <alignment horizontal="left" shrinkToFit="0" vertical="top" wrapText="1"/>
    </xf>
    <xf borderId="1" fillId="9" fontId="3" numFmtId="0" xfId="0" applyAlignment="1" applyBorder="1" applyFont="1">
      <alignment horizontal="left" shrinkToFit="0" vertical="top" wrapText="1"/>
    </xf>
    <xf borderId="1" fillId="9" fontId="3" numFmtId="0" xfId="0" applyAlignment="1" applyBorder="1" applyFont="1">
      <alignment shrinkToFit="0" vertical="top" wrapText="1"/>
    </xf>
    <xf borderId="1" fillId="9" fontId="3" numFmtId="0" xfId="0" applyAlignment="1" applyBorder="1" applyFont="1">
      <alignment vertical="center"/>
    </xf>
    <xf borderId="1" fillId="9" fontId="3" numFmtId="0" xfId="0" applyAlignment="1" applyBorder="1" applyFont="1">
      <alignment shrinkToFit="0" vertical="center" wrapText="1"/>
    </xf>
    <xf borderId="1" fillId="0" fontId="2" numFmtId="0" xfId="0" applyAlignment="1" applyBorder="1" applyFont="1">
      <alignment shrinkToFit="0" vertical="top" wrapText="1"/>
    </xf>
    <xf borderId="1" fillId="0" fontId="16" numFmtId="0" xfId="0" applyAlignment="1" applyBorder="1" applyFont="1">
      <alignment shrinkToFit="0" vertical="center" wrapText="1"/>
    </xf>
    <xf borderId="1" fillId="8" fontId="3" numFmtId="0" xfId="0" applyAlignment="1" applyBorder="1" applyFont="1">
      <alignment shrinkToFit="0" vertical="center" wrapText="1"/>
    </xf>
    <xf borderId="0" fillId="0" fontId="20" numFmtId="0" xfId="0" applyAlignment="1" applyFont="1">
      <alignment horizontal="center" vertical="center"/>
    </xf>
    <xf borderId="1" fillId="0" fontId="14" numFmtId="0" xfId="0" applyAlignment="1" applyBorder="1" applyFont="1">
      <alignment shrinkToFit="0" vertical="center" wrapText="1"/>
    </xf>
    <xf borderId="0" fillId="0" fontId="19"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app.notion.com/p/fact-base/3a77b39bb0c8818dbb2bddd161c01e80" TargetMode="External"/><Relationship Id="rId2" Type="http://schemas.openxmlformats.org/officeDocument/2006/relationships/hyperlink" Target="https://app.notion.com/p/fact-base/3a47b39bb0c880c18f04f77957e8cd11"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4.43" defaultRowHeight="15.0" outlineLevelCol="1"/>
  <cols>
    <col customWidth="1" min="1" max="1" width="6.43"/>
    <col customWidth="1" min="2" max="2" width="17.0"/>
    <col customWidth="1" min="3" max="3" width="17.71"/>
    <col customWidth="1" min="4" max="4" width="19.29"/>
    <col customWidth="1" min="5" max="5" width="21.43"/>
    <col customWidth="1" hidden="1" min="6" max="6" width="39.14" outlineLevel="1"/>
    <col collapsed="1" customWidth="1" min="7" max="7" width="10.43"/>
    <col customWidth="1" min="8" max="8" width="43.14"/>
    <col customWidth="1" min="9" max="9" width="32.86"/>
    <col customWidth="1" min="10" max="10" width="20.86"/>
    <col customWidth="1" min="11" max="11" width="24.43"/>
    <col customWidth="1" min="12" max="12" width="23.57"/>
    <col customWidth="1" min="13" max="13" width="10.29"/>
    <col customWidth="1" min="14" max="14" width="10.86"/>
    <col customWidth="1" min="15" max="15" width="28.71"/>
    <col customWidth="1" min="16" max="26" width="8.71"/>
  </cols>
  <sheetData>
    <row r="1" ht="18.75" customHeight="1">
      <c r="B1" s="3"/>
      <c r="C1" s="5"/>
      <c r="D1" s="5"/>
      <c r="E1" s="5"/>
      <c r="H1" s="8"/>
      <c r="I1" s="8"/>
      <c r="K1" s="8"/>
      <c r="L1" s="9"/>
      <c r="N1" s="11"/>
      <c r="O1" s="13"/>
      <c r="P1" s="15" t="s">
        <v>13</v>
      </c>
      <c r="S1" s="16" t="s">
        <v>15</v>
      </c>
      <c r="T1" s="15"/>
    </row>
    <row r="2">
      <c r="A2" s="17" t="s">
        <v>16</v>
      </c>
      <c r="B2" s="19" t="s">
        <v>17</v>
      </c>
      <c r="C2" s="22" t="s">
        <v>18</v>
      </c>
      <c r="D2" s="23"/>
      <c r="E2" s="24"/>
      <c r="F2" s="28" t="s">
        <v>21</v>
      </c>
      <c r="G2" s="28" t="s">
        <v>22</v>
      </c>
      <c r="H2" s="29" t="s">
        <v>24</v>
      </c>
      <c r="I2" s="29" t="s">
        <v>21</v>
      </c>
      <c r="J2" s="31" t="s">
        <v>25</v>
      </c>
      <c r="K2" s="32" t="s">
        <v>26</v>
      </c>
      <c r="L2" s="32" t="s">
        <v>27</v>
      </c>
      <c r="M2" s="31" t="s">
        <v>28</v>
      </c>
      <c r="N2" s="31" t="s">
        <v>29</v>
      </c>
      <c r="O2" s="13"/>
      <c r="P2" s="33" t="s">
        <v>30</v>
      </c>
      <c r="Q2" s="11" t="s">
        <v>31</v>
      </c>
      <c r="S2" s="16" t="s">
        <v>32</v>
      </c>
      <c r="T2" s="16" t="s">
        <v>33</v>
      </c>
      <c r="V2" s="1"/>
      <c r="W2" s="1"/>
    </row>
    <row r="3" hidden="1">
      <c r="A3" s="17">
        <v>1.0</v>
      </c>
      <c r="B3" s="34" t="s">
        <v>34</v>
      </c>
      <c r="C3" s="36" t="s">
        <v>34</v>
      </c>
      <c r="D3" s="36" t="s">
        <v>36</v>
      </c>
      <c r="E3" s="36"/>
      <c r="F3" s="17"/>
      <c r="G3" s="17" t="s">
        <v>2</v>
      </c>
      <c r="H3" s="38"/>
      <c r="I3" s="38"/>
      <c r="J3" s="38" t="s">
        <v>38</v>
      </c>
      <c r="K3" s="38" t="s">
        <v>39</v>
      </c>
      <c r="L3" s="38" t="s">
        <v>40</v>
      </c>
      <c r="M3" s="38" t="s">
        <v>41</v>
      </c>
      <c r="N3" s="17" t="s">
        <v>43</v>
      </c>
      <c r="O3" s="39"/>
      <c r="P3" s="40" t="str">
        <f t="shared" ref="P3:P183" si="1">IF(ISNUMBER(SEARCH("Auto",M3)),"〇","×")</f>
        <v>〇</v>
      </c>
      <c r="Q3" s="33" t="s">
        <v>45</v>
      </c>
      <c r="S3" s="41"/>
      <c r="T3" s="33"/>
      <c r="V3" s="1"/>
    </row>
    <row r="4" hidden="1">
      <c r="A4" s="17">
        <f t="shared" ref="A4:A528" si="2">A3+1</f>
        <v>2</v>
      </c>
      <c r="B4" s="42" t="s">
        <v>34</v>
      </c>
      <c r="C4" s="43" t="s">
        <v>34</v>
      </c>
      <c r="D4" s="36" t="s">
        <v>46</v>
      </c>
      <c r="E4" s="36"/>
      <c r="F4" s="17"/>
      <c r="G4" s="17" t="s">
        <v>2</v>
      </c>
      <c r="H4" s="38"/>
      <c r="I4" s="38"/>
      <c r="J4" s="38" t="s">
        <v>48</v>
      </c>
      <c r="K4" s="38" t="s">
        <v>49</v>
      </c>
      <c r="L4" s="38" t="s">
        <v>40</v>
      </c>
      <c r="M4" s="38" t="s">
        <v>41</v>
      </c>
      <c r="N4" s="17" t="s">
        <v>43</v>
      </c>
      <c r="O4" s="39"/>
      <c r="P4" s="40" t="str">
        <f t="shared" si="1"/>
        <v>〇</v>
      </c>
      <c r="Q4" s="41" t="s">
        <v>45</v>
      </c>
      <c r="S4" s="33"/>
      <c r="T4" s="33"/>
    </row>
    <row r="5" hidden="1">
      <c r="A5" s="17">
        <f t="shared" si="2"/>
        <v>3</v>
      </c>
      <c r="B5" s="42" t="s">
        <v>34</v>
      </c>
      <c r="C5" s="36" t="s">
        <v>50</v>
      </c>
      <c r="D5" s="36"/>
      <c r="E5" s="36"/>
      <c r="F5" s="17"/>
      <c r="G5" s="17" t="s">
        <v>7</v>
      </c>
      <c r="H5" s="38"/>
      <c r="I5" s="38" t="s">
        <v>51</v>
      </c>
      <c r="J5" s="38" t="s">
        <v>52</v>
      </c>
      <c r="K5" s="38" t="s">
        <v>53</v>
      </c>
      <c r="L5" s="38" t="s">
        <v>40</v>
      </c>
      <c r="M5" s="38" t="s">
        <v>41</v>
      </c>
      <c r="N5" s="17" t="s">
        <v>43</v>
      </c>
      <c r="O5" s="39"/>
      <c r="P5" s="40" t="str">
        <f t="shared" si="1"/>
        <v>〇</v>
      </c>
      <c r="Q5" s="41" t="s">
        <v>45</v>
      </c>
      <c r="S5" s="33"/>
      <c r="T5" s="33"/>
    </row>
    <row r="6" hidden="1">
      <c r="A6" s="17">
        <f t="shared" si="2"/>
        <v>4</v>
      </c>
      <c r="B6" s="34" t="s">
        <v>54</v>
      </c>
      <c r="C6" s="34" t="s">
        <v>55</v>
      </c>
      <c r="D6" s="34"/>
      <c r="E6" s="36"/>
      <c r="F6" s="17"/>
      <c r="G6" s="17" t="s">
        <v>2</v>
      </c>
      <c r="H6" s="38"/>
      <c r="I6" s="38"/>
      <c r="J6" s="38" t="s">
        <v>56</v>
      </c>
      <c r="K6" s="38" t="s">
        <v>57</v>
      </c>
      <c r="L6" s="38" t="s">
        <v>58</v>
      </c>
      <c r="M6" s="38"/>
      <c r="N6" s="44" t="s">
        <v>23</v>
      </c>
      <c r="O6" s="39"/>
      <c r="P6" s="40" t="str">
        <f t="shared" si="1"/>
        <v>×</v>
      </c>
      <c r="Q6" s="41" t="s">
        <v>59</v>
      </c>
      <c r="S6" s="33"/>
      <c r="T6" s="33"/>
    </row>
    <row r="7" hidden="1">
      <c r="A7" s="17">
        <f t="shared" si="2"/>
        <v>5</v>
      </c>
      <c r="B7" s="42" t="s">
        <v>54</v>
      </c>
      <c r="C7" s="34" t="s">
        <v>60</v>
      </c>
      <c r="D7" s="34" t="s">
        <v>61</v>
      </c>
      <c r="E7" s="36"/>
      <c r="F7" s="17"/>
      <c r="G7" s="17" t="s">
        <v>2</v>
      </c>
      <c r="H7" s="38"/>
      <c r="I7" s="38" t="s">
        <v>62</v>
      </c>
      <c r="J7" s="38" t="s">
        <v>56</v>
      </c>
      <c r="K7" s="38" t="s">
        <v>63</v>
      </c>
      <c r="L7" s="38" t="s">
        <v>64</v>
      </c>
      <c r="M7" s="38"/>
      <c r="N7" s="44" t="s">
        <v>23</v>
      </c>
      <c r="O7" s="39"/>
      <c r="P7" s="40" t="str">
        <f t="shared" si="1"/>
        <v>×</v>
      </c>
      <c r="Q7" s="41" t="s">
        <v>59</v>
      </c>
      <c r="S7" s="33"/>
      <c r="T7" s="33"/>
    </row>
    <row r="8" hidden="1">
      <c r="A8" s="17">
        <f t="shared" si="2"/>
        <v>6</v>
      </c>
      <c r="B8" s="42" t="s">
        <v>54</v>
      </c>
      <c r="C8" s="42" t="s">
        <v>60</v>
      </c>
      <c r="D8" s="34" t="s">
        <v>65</v>
      </c>
      <c r="E8" s="36"/>
      <c r="F8" s="17"/>
      <c r="G8" s="17" t="s">
        <v>2</v>
      </c>
      <c r="H8" s="38"/>
      <c r="I8" s="38"/>
      <c r="J8" s="38" t="s">
        <v>66</v>
      </c>
      <c r="K8" s="38" t="s">
        <v>67</v>
      </c>
      <c r="L8" s="38" t="s">
        <v>68</v>
      </c>
      <c r="M8" s="38"/>
      <c r="N8" s="44" t="s">
        <v>23</v>
      </c>
      <c r="O8" s="39"/>
      <c r="P8" s="40" t="str">
        <f t="shared" si="1"/>
        <v>×</v>
      </c>
      <c r="Q8" s="41" t="s">
        <v>59</v>
      </c>
      <c r="S8" s="33"/>
      <c r="T8" s="33"/>
    </row>
    <row r="9" hidden="1">
      <c r="A9" s="17">
        <f t="shared" si="2"/>
        <v>7</v>
      </c>
      <c r="B9" s="42" t="s">
        <v>54</v>
      </c>
      <c r="C9" s="42" t="s">
        <v>60</v>
      </c>
      <c r="D9" s="34" t="s">
        <v>69</v>
      </c>
      <c r="E9" s="36"/>
      <c r="F9" s="17"/>
      <c r="G9" s="17" t="s">
        <v>2</v>
      </c>
      <c r="H9" s="38"/>
      <c r="I9" s="38"/>
      <c r="J9" s="38" t="s">
        <v>66</v>
      </c>
      <c r="K9" s="38" t="s">
        <v>70</v>
      </c>
      <c r="L9" s="38" t="s">
        <v>71</v>
      </c>
      <c r="M9" s="38"/>
      <c r="N9" s="44" t="s">
        <v>23</v>
      </c>
      <c r="O9" s="39"/>
      <c r="P9" s="40" t="str">
        <f t="shared" si="1"/>
        <v>×</v>
      </c>
      <c r="Q9" s="41" t="s">
        <v>59</v>
      </c>
      <c r="S9" s="33"/>
      <c r="T9" s="33"/>
    </row>
    <row r="10" hidden="1">
      <c r="A10" s="17">
        <f t="shared" si="2"/>
        <v>8</v>
      </c>
      <c r="B10" s="42" t="s">
        <v>54</v>
      </c>
      <c r="C10" s="34" t="s">
        <v>72</v>
      </c>
      <c r="D10" s="34" t="s">
        <v>61</v>
      </c>
      <c r="E10" s="36"/>
      <c r="F10" s="17"/>
      <c r="G10" s="17" t="s">
        <v>2</v>
      </c>
      <c r="H10" s="38"/>
      <c r="I10" s="38" t="s">
        <v>62</v>
      </c>
      <c r="J10" s="38" t="s">
        <v>73</v>
      </c>
      <c r="K10" s="38" t="s">
        <v>63</v>
      </c>
      <c r="L10" s="38" t="s">
        <v>74</v>
      </c>
      <c r="M10" s="38"/>
      <c r="N10" s="44" t="s">
        <v>23</v>
      </c>
      <c r="O10" s="39"/>
      <c r="P10" s="40" t="str">
        <f t="shared" si="1"/>
        <v>×</v>
      </c>
      <c r="Q10" s="41" t="s">
        <v>59</v>
      </c>
      <c r="S10" s="33"/>
      <c r="T10" s="33"/>
    </row>
    <row r="11" hidden="1">
      <c r="A11" s="17">
        <f t="shared" si="2"/>
        <v>9</v>
      </c>
      <c r="B11" s="42" t="s">
        <v>54</v>
      </c>
      <c r="C11" s="34" t="s">
        <v>72</v>
      </c>
      <c r="D11" s="34" t="s">
        <v>65</v>
      </c>
      <c r="E11" s="36"/>
      <c r="F11" s="17"/>
      <c r="G11" s="17" t="s">
        <v>2</v>
      </c>
      <c r="H11" s="38"/>
      <c r="I11" s="38"/>
      <c r="J11" s="38" t="s">
        <v>66</v>
      </c>
      <c r="K11" s="38" t="s">
        <v>75</v>
      </c>
      <c r="L11" s="38" t="s">
        <v>76</v>
      </c>
      <c r="M11" s="38"/>
      <c r="N11" s="44" t="s">
        <v>23</v>
      </c>
      <c r="O11" s="39"/>
      <c r="P11" s="40" t="str">
        <f t="shared" si="1"/>
        <v>×</v>
      </c>
      <c r="Q11" s="41" t="s">
        <v>59</v>
      </c>
      <c r="S11" s="33"/>
      <c r="T11" s="33"/>
    </row>
    <row r="12" hidden="1">
      <c r="A12" s="17">
        <f t="shared" si="2"/>
        <v>10</v>
      </c>
      <c r="B12" s="42" t="s">
        <v>54</v>
      </c>
      <c r="C12" s="42" t="s">
        <v>72</v>
      </c>
      <c r="D12" s="34" t="s">
        <v>69</v>
      </c>
      <c r="E12" s="36"/>
      <c r="F12" s="17"/>
      <c r="G12" s="17" t="s">
        <v>2</v>
      </c>
      <c r="H12" s="38"/>
      <c r="I12" s="38"/>
      <c r="J12" s="38" t="s">
        <v>66</v>
      </c>
      <c r="K12" s="38" t="s">
        <v>77</v>
      </c>
      <c r="L12" s="38" t="s">
        <v>71</v>
      </c>
      <c r="M12" s="38"/>
      <c r="N12" s="44" t="s">
        <v>23</v>
      </c>
      <c r="O12" s="39"/>
      <c r="P12" s="40" t="str">
        <f t="shared" si="1"/>
        <v>×</v>
      </c>
      <c r="Q12" s="41" t="s">
        <v>59</v>
      </c>
      <c r="S12" s="33"/>
      <c r="T12" s="33"/>
    </row>
    <row r="13" hidden="1">
      <c r="A13" s="17">
        <f t="shared" si="2"/>
        <v>11</v>
      </c>
      <c r="B13" s="34" t="s">
        <v>78</v>
      </c>
      <c r="C13" s="34" t="s">
        <v>79</v>
      </c>
      <c r="D13" s="36" t="s">
        <v>80</v>
      </c>
      <c r="E13" s="36" t="s">
        <v>81</v>
      </c>
      <c r="F13" s="17"/>
      <c r="G13" s="17" t="s">
        <v>2</v>
      </c>
      <c r="H13" s="38"/>
      <c r="I13" s="38"/>
      <c r="J13" s="38" t="s">
        <v>82</v>
      </c>
      <c r="K13" s="38" t="s">
        <v>83</v>
      </c>
      <c r="L13" s="38" t="s">
        <v>84</v>
      </c>
      <c r="M13" s="38"/>
      <c r="N13" s="44" t="s">
        <v>23</v>
      </c>
      <c r="O13" s="39"/>
      <c r="P13" s="40" t="str">
        <f t="shared" si="1"/>
        <v>×</v>
      </c>
      <c r="Q13" s="41" t="s">
        <v>59</v>
      </c>
      <c r="S13" s="33"/>
      <c r="T13" s="33"/>
    </row>
    <row r="14" hidden="1">
      <c r="A14" s="17">
        <f t="shared" si="2"/>
        <v>12</v>
      </c>
      <c r="B14" s="42" t="s">
        <v>78</v>
      </c>
      <c r="C14" s="42" t="s">
        <v>79</v>
      </c>
      <c r="D14" s="45" t="s">
        <v>80</v>
      </c>
      <c r="E14" s="36" t="s">
        <v>85</v>
      </c>
      <c r="F14" s="17"/>
      <c r="G14" s="17" t="s">
        <v>2</v>
      </c>
      <c r="H14" s="38"/>
      <c r="I14" s="38"/>
      <c r="J14" s="38" t="s">
        <v>82</v>
      </c>
      <c r="K14" s="38" t="s">
        <v>86</v>
      </c>
      <c r="L14" s="38" t="s">
        <v>87</v>
      </c>
      <c r="M14" s="38"/>
      <c r="N14" s="44" t="s">
        <v>23</v>
      </c>
      <c r="O14" s="39"/>
      <c r="P14" s="40" t="str">
        <f t="shared" si="1"/>
        <v>×</v>
      </c>
      <c r="Q14" s="41" t="s">
        <v>59</v>
      </c>
      <c r="S14" s="33"/>
      <c r="T14" s="33"/>
    </row>
    <row r="15" hidden="1">
      <c r="A15" s="17">
        <f t="shared" si="2"/>
        <v>13</v>
      </c>
      <c r="B15" s="42" t="s">
        <v>78</v>
      </c>
      <c r="C15" s="42" t="s">
        <v>79</v>
      </c>
      <c r="D15" s="34" t="s">
        <v>88</v>
      </c>
      <c r="E15" s="36" t="s">
        <v>89</v>
      </c>
      <c r="F15" s="38"/>
      <c r="G15" s="17" t="s">
        <v>2</v>
      </c>
      <c r="H15" s="38"/>
      <c r="I15" s="46"/>
      <c r="J15" s="17" t="s">
        <v>66</v>
      </c>
      <c r="K15" s="38" t="s">
        <v>90</v>
      </c>
      <c r="L15" s="38" t="s">
        <v>91</v>
      </c>
      <c r="M15" s="38"/>
      <c r="N15" s="44" t="s">
        <v>23</v>
      </c>
      <c r="O15" s="39"/>
      <c r="P15" s="40" t="str">
        <f t="shared" si="1"/>
        <v>×</v>
      </c>
      <c r="Q15" s="41" t="s">
        <v>59</v>
      </c>
      <c r="S15" s="33"/>
      <c r="T15" s="33"/>
    </row>
    <row r="16" hidden="1">
      <c r="A16" s="17">
        <f t="shared" si="2"/>
        <v>14</v>
      </c>
      <c r="B16" s="42" t="s">
        <v>78</v>
      </c>
      <c r="C16" s="42" t="s">
        <v>79</v>
      </c>
      <c r="D16" s="47" t="s">
        <v>88</v>
      </c>
      <c r="E16" s="36" t="s">
        <v>92</v>
      </c>
      <c r="F16" s="17"/>
      <c r="G16" s="17" t="s">
        <v>2</v>
      </c>
      <c r="H16" s="38"/>
      <c r="I16" s="46"/>
      <c r="J16" s="38" t="s">
        <v>66</v>
      </c>
      <c r="K16" s="38" t="s">
        <v>93</v>
      </c>
      <c r="L16" s="38" t="s">
        <v>94</v>
      </c>
      <c r="M16" s="38"/>
      <c r="N16" s="44" t="s">
        <v>23</v>
      </c>
      <c r="O16" s="39"/>
      <c r="P16" s="40" t="str">
        <f t="shared" si="1"/>
        <v>×</v>
      </c>
      <c r="Q16" s="41" t="s">
        <v>59</v>
      </c>
      <c r="S16" s="33"/>
      <c r="T16" s="33"/>
    </row>
    <row r="17" hidden="1">
      <c r="A17" s="17">
        <f t="shared" si="2"/>
        <v>15</v>
      </c>
      <c r="B17" s="42" t="s">
        <v>78</v>
      </c>
      <c r="C17" s="42" t="s">
        <v>79</v>
      </c>
      <c r="D17" s="47" t="s">
        <v>88</v>
      </c>
      <c r="E17" s="36"/>
      <c r="F17" s="17"/>
      <c r="G17" s="17" t="s">
        <v>2</v>
      </c>
      <c r="H17" s="38"/>
      <c r="I17" s="38" t="s">
        <v>95</v>
      </c>
      <c r="J17" s="38" t="s">
        <v>66</v>
      </c>
      <c r="K17" s="38" t="s">
        <v>96</v>
      </c>
      <c r="L17" s="38" t="s">
        <v>97</v>
      </c>
      <c r="M17" s="38"/>
      <c r="N17" s="44" t="s">
        <v>23</v>
      </c>
      <c r="O17" s="39"/>
      <c r="P17" s="40" t="str">
        <f t="shared" si="1"/>
        <v>×</v>
      </c>
      <c r="Q17" s="41" t="s">
        <v>59</v>
      </c>
      <c r="S17" s="33"/>
      <c r="T17" s="33"/>
    </row>
    <row r="18" hidden="1">
      <c r="A18" s="17">
        <f t="shared" si="2"/>
        <v>16</v>
      </c>
      <c r="B18" s="42" t="s">
        <v>78</v>
      </c>
      <c r="C18" s="42" t="s">
        <v>79</v>
      </c>
      <c r="D18" s="36" t="s">
        <v>98</v>
      </c>
      <c r="E18" s="36"/>
      <c r="F18" s="17"/>
      <c r="G18" s="17" t="s">
        <v>7</v>
      </c>
      <c r="H18" s="38"/>
      <c r="I18" s="38"/>
      <c r="J18" s="38" t="s">
        <v>82</v>
      </c>
      <c r="K18" s="38" t="s">
        <v>99</v>
      </c>
      <c r="L18" s="38" t="s">
        <v>100</v>
      </c>
      <c r="M18" s="38"/>
      <c r="N18" s="44" t="s">
        <v>23</v>
      </c>
      <c r="O18" s="48"/>
      <c r="P18" s="40" t="str">
        <f t="shared" si="1"/>
        <v>×</v>
      </c>
      <c r="Q18" s="33" t="s">
        <v>59</v>
      </c>
      <c r="S18" s="33"/>
      <c r="T18" s="33"/>
    </row>
    <row r="19" hidden="1">
      <c r="A19" s="17">
        <f t="shared" si="2"/>
        <v>17</v>
      </c>
      <c r="B19" s="42" t="s">
        <v>78</v>
      </c>
      <c r="C19" s="42" t="s">
        <v>79</v>
      </c>
      <c r="D19" s="45" t="s">
        <v>98</v>
      </c>
      <c r="E19" s="36"/>
      <c r="F19" s="17"/>
      <c r="G19" s="17" t="s">
        <v>7</v>
      </c>
      <c r="H19" s="38"/>
      <c r="I19" s="38" t="s">
        <v>101</v>
      </c>
      <c r="J19" s="38" t="s">
        <v>82</v>
      </c>
      <c r="K19" s="38" t="s">
        <v>102</v>
      </c>
      <c r="L19" s="38" t="s">
        <v>103</v>
      </c>
      <c r="M19" s="38"/>
      <c r="N19" s="44" t="s">
        <v>23</v>
      </c>
      <c r="O19" s="48"/>
      <c r="P19" s="40" t="str">
        <f t="shared" si="1"/>
        <v>×</v>
      </c>
      <c r="Q19" s="33" t="s">
        <v>59</v>
      </c>
      <c r="S19" s="49"/>
      <c r="T19" s="50"/>
    </row>
    <row r="20" hidden="1">
      <c r="A20" s="17">
        <f t="shared" si="2"/>
        <v>18</v>
      </c>
      <c r="B20" s="42" t="s">
        <v>78</v>
      </c>
      <c r="C20" s="42" t="s">
        <v>79</v>
      </c>
      <c r="D20" s="45" t="s">
        <v>98</v>
      </c>
      <c r="E20" s="36" t="s">
        <v>104</v>
      </c>
      <c r="F20" s="17"/>
      <c r="G20" s="17" t="s">
        <v>7</v>
      </c>
      <c r="H20" s="38"/>
      <c r="I20" s="38" t="s">
        <v>105</v>
      </c>
      <c r="J20" s="38" t="s">
        <v>82</v>
      </c>
      <c r="K20" s="38" t="s">
        <v>106</v>
      </c>
      <c r="L20" s="38" t="s">
        <v>107</v>
      </c>
      <c r="M20" s="38"/>
      <c r="N20" s="44" t="s">
        <v>23</v>
      </c>
      <c r="O20" s="48"/>
      <c r="P20" s="40" t="str">
        <f t="shared" si="1"/>
        <v>×</v>
      </c>
      <c r="Q20" s="33" t="s">
        <v>59</v>
      </c>
      <c r="S20" s="49"/>
      <c r="T20" s="33"/>
    </row>
    <row r="21" hidden="1">
      <c r="A21" s="17">
        <f t="shared" si="2"/>
        <v>19</v>
      </c>
      <c r="B21" s="42" t="s">
        <v>78</v>
      </c>
      <c r="C21" s="42" t="s">
        <v>79</v>
      </c>
      <c r="D21" s="36" t="s">
        <v>108</v>
      </c>
      <c r="E21" s="36"/>
      <c r="F21" s="17"/>
      <c r="G21" s="17" t="s">
        <v>7</v>
      </c>
      <c r="H21" s="38"/>
      <c r="I21" s="38"/>
      <c r="J21" s="38" t="s">
        <v>82</v>
      </c>
      <c r="K21" s="38" t="s">
        <v>109</v>
      </c>
      <c r="L21" s="38" t="s">
        <v>110</v>
      </c>
      <c r="M21" s="38"/>
      <c r="N21" s="44" t="s">
        <v>23</v>
      </c>
      <c r="O21" s="48"/>
      <c r="P21" s="40" t="str">
        <f t="shared" si="1"/>
        <v>×</v>
      </c>
      <c r="Q21" s="33" t="s">
        <v>59</v>
      </c>
      <c r="S21" s="41"/>
      <c r="T21" s="33"/>
    </row>
    <row r="22" hidden="1">
      <c r="A22" s="17">
        <f t="shared" si="2"/>
        <v>20</v>
      </c>
      <c r="B22" s="42" t="s">
        <v>78</v>
      </c>
      <c r="C22" s="42" t="s">
        <v>79</v>
      </c>
      <c r="D22" s="36" t="s">
        <v>111</v>
      </c>
      <c r="E22" s="36"/>
      <c r="F22" s="17"/>
      <c r="G22" s="17" t="s">
        <v>2</v>
      </c>
      <c r="H22" s="38"/>
      <c r="I22" s="38"/>
      <c r="J22" s="38" t="s">
        <v>82</v>
      </c>
      <c r="K22" s="38" t="s">
        <v>112</v>
      </c>
      <c r="L22" s="38" t="s">
        <v>113</v>
      </c>
      <c r="M22" s="38"/>
      <c r="N22" s="44" t="s">
        <v>23</v>
      </c>
      <c r="O22" s="48"/>
      <c r="P22" s="40" t="str">
        <f t="shared" si="1"/>
        <v>×</v>
      </c>
      <c r="Q22" s="33" t="s">
        <v>59</v>
      </c>
      <c r="S22" s="33" t="s">
        <v>45</v>
      </c>
      <c r="T22" s="33"/>
    </row>
    <row r="23" hidden="1">
      <c r="A23" s="17">
        <f t="shared" si="2"/>
        <v>21</v>
      </c>
      <c r="B23" s="42" t="s">
        <v>78</v>
      </c>
      <c r="C23" s="42" t="s">
        <v>79</v>
      </c>
      <c r="D23" s="36" t="s">
        <v>114</v>
      </c>
      <c r="E23" s="36"/>
      <c r="F23" s="17"/>
      <c r="G23" s="17" t="s">
        <v>7</v>
      </c>
      <c r="H23" s="38"/>
      <c r="I23" s="38"/>
      <c r="J23" s="38" t="s">
        <v>82</v>
      </c>
      <c r="K23" s="38" t="s">
        <v>115</v>
      </c>
      <c r="L23" s="38" t="s">
        <v>116</v>
      </c>
      <c r="M23" s="38"/>
      <c r="N23" s="44" t="s">
        <v>23</v>
      </c>
      <c r="O23" s="48"/>
      <c r="P23" s="40" t="str">
        <f t="shared" si="1"/>
        <v>×</v>
      </c>
      <c r="Q23" s="33" t="s">
        <v>59</v>
      </c>
      <c r="S23" s="33"/>
      <c r="T23" s="33"/>
    </row>
    <row r="24" hidden="1">
      <c r="A24" s="17">
        <f t="shared" si="2"/>
        <v>22</v>
      </c>
      <c r="B24" s="42" t="s">
        <v>78</v>
      </c>
      <c r="C24" s="42" t="s">
        <v>79</v>
      </c>
      <c r="D24" s="36" t="s">
        <v>117</v>
      </c>
      <c r="E24" s="36"/>
      <c r="F24" s="17"/>
      <c r="G24" s="17" t="s">
        <v>7</v>
      </c>
      <c r="H24" s="38"/>
      <c r="I24" s="38"/>
      <c r="J24" s="38" t="s">
        <v>82</v>
      </c>
      <c r="K24" s="38" t="s">
        <v>118</v>
      </c>
      <c r="L24" s="38" t="s">
        <v>119</v>
      </c>
      <c r="M24" s="38"/>
      <c r="N24" s="44" t="s">
        <v>23</v>
      </c>
      <c r="O24" s="48"/>
      <c r="P24" s="40" t="str">
        <f t="shared" si="1"/>
        <v>×</v>
      </c>
      <c r="Q24" s="33" t="s">
        <v>59</v>
      </c>
      <c r="S24" s="33"/>
      <c r="T24" s="33"/>
    </row>
    <row r="25" hidden="1">
      <c r="A25" s="17">
        <f t="shared" si="2"/>
        <v>23</v>
      </c>
      <c r="B25" s="42" t="s">
        <v>78</v>
      </c>
      <c r="C25" s="42" t="s">
        <v>79</v>
      </c>
      <c r="D25" s="36" t="s">
        <v>120</v>
      </c>
      <c r="E25" s="36"/>
      <c r="F25" s="17"/>
      <c r="G25" s="17" t="s">
        <v>7</v>
      </c>
      <c r="H25" s="38"/>
      <c r="I25" s="38"/>
      <c r="J25" s="38" t="s">
        <v>82</v>
      </c>
      <c r="K25" s="38" t="s">
        <v>121</v>
      </c>
      <c r="L25" s="38" t="s">
        <v>122</v>
      </c>
      <c r="M25" s="38"/>
      <c r="N25" s="44" t="s">
        <v>23</v>
      </c>
      <c r="O25" s="39"/>
      <c r="P25" s="40" t="str">
        <f t="shared" si="1"/>
        <v>×</v>
      </c>
      <c r="Q25" s="33" t="s">
        <v>59</v>
      </c>
      <c r="S25" s="33"/>
      <c r="T25" s="33"/>
    </row>
    <row r="26" hidden="1">
      <c r="A26" s="17">
        <f t="shared" si="2"/>
        <v>24</v>
      </c>
      <c r="B26" s="42" t="s">
        <v>78</v>
      </c>
      <c r="C26" s="34" t="s">
        <v>123</v>
      </c>
      <c r="D26" s="36" t="s">
        <v>124</v>
      </c>
      <c r="E26" s="36" t="s">
        <v>125</v>
      </c>
      <c r="F26" s="17" t="s">
        <v>126</v>
      </c>
      <c r="G26" s="17" t="s">
        <v>2</v>
      </c>
      <c r="H26" s="38" t="s">
        <v>127</v>
      </c>
      <c r="I26" s="38" t="s">
        <v>128</v>
      </c>
      <c r="J26" s="38" t="s">
        <v>129</v>
      </c>
      <c r="K26" s="38" t="s">
        <v>130</v>
      </c>
      <c r="L26" s="38" t="s">
        <v>131</v>
      </c>
      <c r="M26" s="38"/>
      <c r="N26" s="44" t="s">
        <v>23</v>
      </c>
      <c r="O26" s="13"/>
      <c r="P26" s="40" t="str">
        <f t="shared" si="1"/>
        <v>×</v>
      </c>
      <c r="Q26" s="33" t="s">
        <v>59</v>
      </c>
      <c r="S26" s="33"/>
      <c r="T26" s="33" t="s">
        <v>45</v>
      </c>
      <c r="V26" s="51"/>
    </row>
    <row r="27" hidden="1">
      <c r="A27" s="17">
        <f t="shared" si="2"/>
        <v>25</v>
      </c>
      <c r="B27" s="42" t="s">
        <v>78</v>
      </c>
      <c r="C27" s="42" t="s">
        <v>123</v>
      </c>
      <c r="D27" s="36" t="s">
        <v>132</v>
      </c>
      <c r="E27" s="36" t="s">
        <v>133</v>
      </c>
      <c r="F27" s="17" t="s">
        <v>66</v>
      </c>
      <c r="G27" s="17" t="s">
        <v>2</v>
      </c>
      <c r="H27" s="38" t="s">
        <v>66</v>
      </c>
      <c r="I27" s="38" t="s">
        <v>66</v>
      </c>
      <c r="J27" s="38" t="s">
        <v>82</v>
      </c>
      <c r="K27" s="38" t="s">
        <v>134</v>
      </c>
      <c r="L27" s="38" t="s">
        <v>135</v>
      </c>
      <c r="M27" s="38"/>
      <c r="N27" s="44" t="s">
        <v>23</v>
      </c>
      <c r="O27" s="13"/>
      <c r="P27" s="40" t="str">
        <f t="shared" si="1"/>
        <v>×</v>
      </c>
      <c r="Q27" s="33" t="s">
        <v>59</v>
      </c>
      <c r="S27" s="33"/>
      <c r="T27" s="33" t="s">
        <v>45</v>
      </c>
      <c r="V27" s="51"/>
    </row>
    <row r="28" hidden="1">
      <c r="A28" s="17">
        <f t="shared" si="2"/>
        <v>26</v>
      </c>
      <c r="B28" s="42" t="s">
        <v>78</v>
      </c>
      <c r="C28" s="42" t="s">
        <v>123</v>
      </c>
      <c r="D28" s="36" t="s">
        <v>136</v>
      </c>
      <c r="E28" s="36"/>
      <c r="F28" s="17"/>
      <c r="G28" s="17" t="s">
        <v>2</v>
      </c>
      <c r="H28" s="38"/>
      <c r="I28" s="38" t="s">
        <v>137</v>
      </c>
      <c r="J28" s="38" t="s">
        <v>82</v>
      </c>
      <c r="K28" s="38" t="s">
        <v>138</v>
      </c>
      <c r="L28" s="38" t="s">
        <v>103</v>
      </c>
      <c r="M28" s="38"/>
      <c r="N28" s="44" t="s">
        <v>23</v>
      </c>
      <c r="O28" s="52"/>
      <c r="P28" s="40" t="str">
        <f t="shared" si="1"/>
        <v>×</v>
      </c>
      <c r="Q28" s="53" t="s">
        <v>59</v>
      </c>
      <c r="S28" s="33"/>
      <c r="T28" s="33"/>
    </row>
    <row r="29" hidden="1">
      <c r="A29" s="17">
        <f t="shared" si="2"/>
        <v>27</v>
      </c>
      <c r="B29" s="42" t="s">
        <v>78</v>
      </c>
      <c r="C29" s="42" t="s">
        <v>123</v>
      </c>
      <c r="D29" s="36" t="s">
        <v>139</v>
      </c>
      <c r="E29" s="36"/>
      <c r="F29" s="17"/>
      <c r="G29" s="17" t="s">
        <v>2</v>
      </c>
      <c r="H29" s="38"/>
      <c r="I29" s="38" t="s">
        <v>140</v>
      </c>
      <c r="J29" s="38" t="s">
        <v>82</v>
      </c>
      <c r="K29" s="38" t="s">
        <v>141</v>
      </c>
      <c r="L29" s="38" t="s">
        <v>107</v>
      </c>
      <c r="M29" s="38"/>
      <c r="N29" s="44" t="s">
        <v>23</v>
      </c>
      <c r="O29" s="52"/>
      <c r="P29" s="40" t="str">
        <f t="shared" si="1"/>
        <v>×</v>
      </c>
      <c r="Q29" s="53" t="s">
        <v>59</v>
      </c>
      <c r="S29" s="33"/>
      <c r="T29" s="33"/>
    </row>
    <row r="30" hidden="1">
      <c r="A30" s="17">
        <f t="shared" si="2"/>
        <v>28</v>
      </c>
      <c r="B30" s="42" t="s">
        <v>78</v>
      </c>
      <c r="C30" s="42" t="s">
        <v>123</v>
      </c>
      <c r="D30" s="36" t="s">
        <v>142</v>
      </c>
      <c r="E30" s="36"/>
      <c r="F30" s="17"/>
      <c r="G30" s="17" t="s">
        <v>2</v>
      </c>
      <c r="H30" s="38"/>
      <c r="I30" s="38" t="s">
        <v>143</v>
      </c>
      <c r="J30" s="38" t="s">
        <v>82</v>
      </c>
      <c r="K30" s="38" t="s">
        <v>144</v>
      </c>
      <c r="L30" s="38" t="s">
        <v>145</v>
      </c>
      <c r="M30" s="38"/>
      <c r="N30" s="44" t="s">
        <v>23</v>
      </c>
      <c r="O30" s="52"/>
      <c r="P30" s="40" t="str">
        <f t="shared" si="1"/>
        <v>×</v>
      </c>
      <c r="Q30" s="53" t="s">
        <v>59</v>
      </c>
      <c r="S30" s="33"/>
      <c r="T30" s="33"/>
    </row>
    <row r="31" hidden="1">
      <c r="A31" s="17">
        <f t="shared" si="2"/>
        <v>29</v>
      </c>
      <c r="B31" s="42" t="s">
        <v>78</v>
      </c>
      <c r="C31" s="36" t="s">
        <v>146</v>
      </c>
      <c r="D31" s="36"/>
      <c r="E31" s="36"/>
      <c r="F31" s="17"/>
      <c r="G31" s="17" t="s">
        <v>2</v>
      </c>
      <c r="H31" s="38" t="s">
        <v>147</v>
      </c>
      <c r="I31" s="38"/>
      <c r="J31" s="38" t="s">
        <v>82</v>
      </c>
      <c r="K31" s="38" t="s">
        <v>148</v>
      </c>
      <c r="L31" s="38" t="s">
        <v>149</v>
      </c>
      <c r="M31" s="38"/>
      <c r="N31" s="44" t="s">
        <v>23</v>
      </c>
      <c r="O31" s="39"/>
      <c r="P31" s="40" t="str">
        <f t="shared" si="1"/>
        <v>×</v>
      </c>
      <c r="Q31" s="53" t="s">
        <v>59</v>
      </c>
      <c r="S31" s="33"/>
      <c r="T31" s="33" t="s">
        <v>45</v>
      </c>
    </row>
    <row r="32" hidden="1">
      <c r="A32" s="17">
        <f t="shared" si="2"/>
        <v>30</v>
      </c>
      <c r="B32" s="42" t="s">
        <v>78</v>
      </c>
      <c r="C32" s="36" t="s">
        <v>61</v>
      </c>
      <c r="D32" s="36"/>
      <c r="E32" s="36"/>
      <c r="F32" s="17"/>
      <c r="G32" s="17" t="s">
        <v>2</v>
      </c>
      <c r="H32" s="38"/>
      <c r="I32" s="38"/>
      <c r="J32" s="38" t="s">
        <v>82</v>
      </c>
      <c r="K32" s="38" t="s">
        <v>150</v>
      </c>
      <c r="L32" s="38" t="s">
        <v>151</v>
      </c>
      <c r="M32" s="38"/>
      <c r="N32" s="44" t="s">
        <v>23</v>
      </c>
      <c r="O32" s="52"/>
      <c r="P32" s="40" t="str">
        <f t="shared" si="1"/>
        <v>×</v>
      </c>
      <c r="Q32" s="33" t="s">
        <v>59</v>
      </c>
      <c r="S32" s="33"/>
      <c r="T32" s="33"/>
    </row>
    <row r="33" hidden="1">
      <c r="A33" s="17">
        <f t="shared" si="2"/>
        <v>31</v>
      </c>
      <c r="B33" s="42" t="s">
        <v>78</v>
      </c>
      <c r="C33" s="45" t="s">
        <v>61</v>
      </c>
      <c r="D33" s="36" t="s">
        <v>152</v>
      </c>
      <c r="E33" s="36"/>
      <c r="F33" s="17"/>
      <c r="G33" s="17" t="s">
        <v>2</v>
      </c>
      <c r="H33" s="38"/>
      <c r="I33" s="38"/>
      <c r="J33" s="38" t="s">
        <v>66</v>
      </c>
      <c r="K33" s="38" t="s">
        <v>153</v>
      </c>
      <c r="L33" s="38" t="s">
        <v>154</v>
      </c>
      <c r="M33" s="38"/>
      <c r="N33" s="44" t="s">
        <v>23</v>
      </c>
      <c r="O33" s="13"/>
      <c r="P33" s="40" t="str">
        <f t="shared" si="1"/>
        <v>×</v>
      </c>
      <c r="Q33" s="33" t="s">
        <v>59</v>
      </c>
      <c r="S33" s="33"/>
      <c r="T33" s="33"/>
    </row>
    <row r="34" hidden="1">
      <c r="A34" s="17">
        <f t="shared" si="2"/>
        <v>32</v>
      </c>
      <c r="B34" s="42" t="s">
        <v>78</v>
      </c>
      <c r="C34" s="36" t="s">
        <v>155</v>
      </c>
      <c r="D34" s="36"/>
      <c r="E34" s="36"/>
      <c r="F34" s="17"/>
      <c r="G34" s="17" t="s">
        <v>2</v>
      </c>
      <c r="H34" s="38" t="s">
        <v>156</v>
      </c>
      <c r="I34" s="38"/>
      <c r="J34" s="38" t="s">
        <v>82</v>
      </c>
      <c r="K34" s="38" t="s">
        <v>157</v>
      </c>
      <c r="L34" s="38" t="s">
        <v>71</v>
      </c>
      <c r="M34" s="38"/>
      <c r="N34" s="44" t="s">
        <v>23</v>
      </c>
      <c r="O34" s="13"/>
      <c r="P34" s="40" t="str">
        <f t="shared" si="1"/>
        <v>×</v>
      </c>
      <c r="Q34" s="33" t="s">
        <v>59</v>
      </c>
      <c r="S34" s="33"/>
      <c r="T34" s="33"/>
    </row>
    <row r="35" hidden="1">
      <c r="A35" s="17">
        <f t="shared" si="2"/>
        <v>33</v>
      </c>
      <c r="B35" s="42" t="s">
        <v>78</v>
      </c>
      <c r="C35" s="36" t="s">
        <v>158</v>
      </c>
      <c r="D35" s="36"/>
      <c r="E35" s="36"/>
      <c r="F35" s="17"/>
      <c r="G35" s="17" t="s">
        <v>2</v>
      </c>
      <c r="H35" s="38" t="s">
        <v>159</v>
      </c>
      <c r="I35" s="38"/>
      <c r="J35" s="38" t="s">
        <v>82</v>
      </c>
      <c r="K35" s="38" t="s">
        <v>160</v>
      </c>
      <c r="L35" s="38" t="s">
        <v>161</v>
      </c>
      <c r="M35" s="38"/>
      <c r="N35" s="44" t="s">
        <v>23</v>
      </c>
      <c r="O35" s="13"/>
      <c r="P35" s="40" t="str">
        <f t="shared" si="1"/>
        <v>×</v>
      </c>
      <c r="Q35" s="33" t="s">
        <v>59</v>
      </c>
      <c r="S35" s="33"/>
      <c r="T35" s="33"/>
    </row>
    <row r="36" hidden="1">
      <c r="A36" s="17">
        <f t="shared" si="2"/>
        <v>34</v>
      </c>
      <c r="B36" s="42" t="s">
        <v>78</v>
      </c>
      <c r="C36" s="36" t="s">
        <v>162</v>
      </c>
      <c r="D36" s="36" t="s">
        <v>163</v>
      </c>
      <c r="E36" s="36"/>
      <c r="F36" s="17"/>
      <c r="G36" s="17" t="s">
        <v>2</v>
      </c>
      <c r="H36" s="38"/>
      <c r="I36" s="38"/>
      <c r="J36" s="38" t="s">
        <v>82</v>
      </c>
      <c r="K36" s="38" t="s">
        <v>164</v>
      </c>
      <c r="L36" s="38" t="s">
        <v>165</v>
      </c>
      <c r="M36" s="38"/>
      <c r="N36" s="44" t="s">
        <v>23</v>
      </c>
      <c r="O36" s="13"/>
      <c r="P36" s="40" t="str">
        <f t="shared" si="1"/>
        <v>×</v>
      </c>
      <c r="Q36" s="33" t="s">
        <v>59</v>
      </c>
      <c r="S36" s="33"/>
      <c r="T36" s="33"/>
    </row>
    <row r="37" hidden="1">
      <c r="A37" s="17">
        <f t="shared" si="2"/>
        <v>35</v>
      </c>
      <c r="B37" s="42" t="s">
        <v>78</v>
      </c>
      <c r="C37" s="43" t="s">
        <v>162</v>
      </c>
      <c r="D37" s="36" t="s">
        <v>166</v>
      </c>
      <c r="E37" s="36"/>
      <c r="F37" s="17"/>
      <c r="G37" s="17" t="s">
        <v>2</v>
      </c>
      <c r="H37" s="38"/>
      <c r="I37" s="38"/>
      <c r="J37" s="38" t="s">
        <v>66</v>
      </c>
      <c r="K37" s="38" t="s">
        <v>167</v>
      </c>
      <c r="L37" s="38" t="s">
        <v>168</v>
      </c>
      <c r="M37" s="38"/>
      <c r="N37" s="44" t="s">
        <v>23</v>
      </c>
      <c r="O37" s="13"/>
      <c r="P37" s="40" t="str">
        <f t="shared" si="1"/>
        <v>×</v>
      </c>
      <c r="Q37" s="33" t="s">
        <v>59</v>
      </c>
      <c r="S37" s="33"/>
      <c r="T37" s="33"/>
    </row>
    <row r="38" hidden="1">
      <c r="A38" s="17">
        <f t="shared" si="2"/>
        <v>36</v>
      </c>
      <c r="B38" s="42" t="s">
        <v>78</v>
      </c>
      <c r="C38" s="43" t="s">
        <v>162</v>
      </c>
      <c r="D38" s="36" t="s">
        <v>169</v>
      </c>
      <c r="E38" s="36"/>
      <c r="F38" s="17"/>
      <c r="G38" s="17" t="s">
        <v>2</v>
      </c>
      <c r="H38" s="38"/>
      <c r="I38" s="38"/>
      <c r="J38" s="38" t="s">
        <v>66</v>
      </c>
      <c r="K38" s="38" t="s">
        <v>170</v>
      </c>
      <c r="L38" s="38" t="s">
        <v>171</v>
      </c>
      <c r="M38" s="38"/>
      <c r="N38" s="44" t="s">
        <v>23</v>
      </c>
      <c r="O38" s="13"/>
      <c r="P38" s="40" t="str">
        <f t="shared" si="1"/>
        <v>×</v>
      </c>
      <c r="Q38" s="33" t="s">
        <v>59</v>
      </c>
      <c r="S38" s="33"/>
      <c r="T38" s="33"/>
    </row>
    <row r="39" hidden="1">
      <c r="A39" s="17">
        <f t="shared" si="2"/>
        <v>37</v>
      </c>
      <c r="B39" s="42" t="s">
        <v>78</v>
      </c>
      <c r="C39" s="36" t="s">
        <v>172</v>
      </c>
      <c r="D39" s="36"/>
      <c r="E39" s="36"/>
      <c r="F39" s="17"/>
      <c r="G39" s="17" t="s">
        <v>2</v>
      </c>
      <c r="H39" s="38"/>
      <c r="I39" s="38"/>
      <c r="J39" s="38" t="s">
        <v>173</v>
      </c>
      <c r="K39" s="38" t="s">
        <v>174</v>
      </c>
      <c r="L39" s="38" t="s">
        <v>175</v>
      </c>
      <c r="M39" s="38"/>
      <c r="N39" s="44" t="s">
        <v>23</v>
      </c>
      <c r="O39" s="13"/>
      <c r="P39" s="40" t="str">
        <f t="shared" si="1"/>
        <v>×</v>
      </c>
      <c r="Q39" s="33" t="s">
        <v>59</v>
      </c>
      <c r="S39" s="33"/>
      <c r="T39" s="33"/>
    </row>
    <row r="40" hidden="1">
      <c r="A40" s="17">
        <f t="shared" si="2"/>
        <v>38</v>
      </c>
      <c r="B40" s="42" t="s">
        <v>78</v>
      </c>
      <c r="C40" s="36" t="s">
        <v>176</v>
      </c>
      <c r="D40" s="36"/>
      <c r="E40" s="36"/>
      <c r="F40" s="17"/>
      <c r="G40" s="17" t="s">
        <v>2</v>
      </c>
      <c r="H40" s="38"/>
      <c r="I40" s="38"/>
      <c r="J40" s="38" t="s">
        <v>177</v>
      </c>
      <c r="K40" s="38" t="s">
        <v>178</v>
      </c>
      <c r="L40" s="38" t="s">
        <v>179</v>
      </c>
      <c r="M40" s="38"/>
      <c r="N40" s="44" t="s">
        <v>23</v>
      </c>
      <c r="O40" s="13"/>
      <c r="P40" s="40" t="str">
        <f t="shared" si="1"/>
        <v>×</v>
      </c>
      <c r="Q40" s="33" t="s">
        <v>59</v>
      </c>
      <c r="S40" s="33"/>
      <c r="T40" s="33"/>
    </row>
    <row r="41" hidden="1">
      <c r="A41" s="17">
        <f t="shared" si="2"/>
        <v>39</v>
      </c>
      <c r="B41" s="42" t="s">
        <v>78</v>
      </c>
      <c r="C41" s="45" t="s">
        <v>176</v>
      </c>
      <c r="D41" s="36" t="s">
        <v>180</v>
      </c>
      <c r="E41" s="36"/>
      <c r="F41" s="17" t="s">
        <v>181</v>
      </c>
      <c r="G41" s="17" t="s">
        <v>2</v>
      </c>
      <c r="H41" s="38"/>
      <c r="I41" s="38"/>
      <c r="J41" s="38" t="s">
        <v>173</v>
      </c>
      <c r="K41" s="38" t="s">
        <v>182</v>
      </c>
      <c r="L41" s="38" t="s">
        <v>183</v>
      </c>
      <c r="M41" s="38"/>
      <c r="N41" s="44" t="s">
        <v>23</v>
      </c>
      <c r="O41" s="13"/>
      <c r="P41" s="40" t="str">
        <f t="shared" si="1"/>
        <v>×</v>
      </c>
      <c r="Q41" s="33" t="s">
        <v>59</v>
      </c>
      <c r="S41" s="33"/>
      <c r="T41" s="33"/>
    </row>
    <row r="42" hidden="1">
      <c r="A42" s="17">
        <f t="shared" si="2"/>
        <v>40</v>
      </c>
      <c r="B42" s="42" t="s">
        <v>78</v>
      </c>
      <c r="C42" s="45" t="s">
        <v>176</v>
      </c>
      <c r="D42" s="36" t="s">
        <v>184</v>
      </c>
      <c r="E42" s="36"/>
      <c r="F42" s="17" t="s">
        <v>181</v>
      </c>
      <c r="G42" s="17" t="s">
        <v>2</v>
      </c>
      <c r="H42" s="38"/>
      <c r="I42" s="38"/>
      <c r="J42" s="38" t="s">
        <v>173</v>
      </c>
      <c r="K42" s="38" t="s">
        <v>185</v>
      </c>
      <c r="L42" s="38" t="s">
        <v>186</v>
      </c>
      <c r="M42" s="38"/>
      <c r="N42" s="44" t="s">
        <v>23</v>
      </c>
      <c r="O42" s="13"/>
      <c r="P42" s="40" t="str">
        <f t="shared" si="1"/>
        <v>×</v>
      </c>
      <c r="Q42" s="33" t="s">
        <v>59</v>
      </c>
      <c r="S42" s="33"/>
      <c r="T42" s="33"/>
    </row>
    <row r="43" hidden="1">
      <c r="A43" s="17">
        <f t="shared" si="2"/>
        <v>41</v>
      </c>
      <c r="B43" s="42" t="s">
        <v>78</v>
      </c>
      <c r="C43" s="36" t="s">
        <v>187</v>
      </c>
      <c r="D43" s="36"/>
      <c r="E43" s="36"/>
      <c r="F43" s="17"/>
      <c r="G43" s="17" t="s">
        <v>7</v>
      </c>
      <c r="H43" s="38"/>
      <c r="I43" s="38"/>
      <c r="J43" s="38" t="s">
        <v>82</v>
      </c>
      <c r="K43" s="38" t="s">
        <v>188</v>
      </c>
      <c r="L43" s="38" t="s">
        <v>189</v>
      </c>
      <c r="M43" s="38"/>
      <c r="N43" s="44" t="s">
        <v>23</v>
      </c>
      <c r="O43" s="39"/>
      <c r="P43" s="40" t="str">
        <f t="shared" si="1"/>
        <v>×</v>
      </c>
      <c r="Q43" s="33" t="s">
        <v>59</v>
      </c>
      <c r="S43" s="33"/>
      <c r="T43" s="33"/>
    </row>
    <row r="44" hidden="1">
      <c r="A44" s="17">
        <f t="shared" si="2"/>
        <v>42</v>
      </c>
      <c r="B44" s="42" t="s">
        <v>78</v>
      </c>
      <c r="C44" s="36" t="s">
        <v>190</v>
      </c>
      <c r="D44" s="36" t="s">
        <v>191</v>
      </c>
      <c r="E44" s="36"/>
      <c r="F44" s="17"/>
      <c r="G44" s="17" t="s">
        <v>2</v>
      </c>
      <c r="H44" s="38"/>
      <c r="I44" s="38"/>
      <c r="J44" s="38" t="s">
        <v>82</v>
      </c>
      <c r="K44" s="38" t="s">
        <v>192</v>
      </c>
      <c r="L44" s="38" t="s">
        <v>193</v>
      </c>
      <c r="M44" s="38"/>
      <c r="N44" s="44" t="s">
        <v>23</v>
      </c>
      <c r="O44" s="52"/>
      <c r="P44" s="40" t="str">
        <f t="shared" si="1"/>
        <v>×</v>
      </c>
      <c r="Q44" s="33" t="s">
        <v>59</v>
      </c>
      <c r="S44" s="33"/>
      <c r="T44" s="33"/>
    </row>
    <row r="45" hidden="1">
      <c r="A45" s="17">
        <f t="shared" si="2"/>
        <v>43</v>
      </c>
      <c r="B45" s="42" t="s">
        <v>78</v>
      </c>
      <c r="C45" s="45" t="s">
        <v>190</v>
      </c>
      <c r="D45" s="36" t="s">
        <v>194</v>
      </c>
      <c r="E45" s="36"/>
      <c r="F45" s="17"/>
      <c r="G45" s="17" t="s">
        <v>2</v>
      </c>
      <c r="H45" s="38"/>
      <c r="I45" s="38" t="s">
        <v>195</v>
      </c>
      <c r="J45" s="38" t="s">
        <v>66</v>
      </c>
      <c r="K45" s="38" t="s">
        <v>196</v>
      </c>
      <c r="L45" s="38" t="s">
        <v>197</v>
      </c>
      <c r="M45" s="38"/>
      <c r="N45" s="44" t="s">
        <v>23</v>
      </c>
      <c r="O45" s="52"/>
      <c r="P45" s="40" t="str">
        <f t="shared" si="1"/>
        <v>×</v>
      </c>
      <c r="Q45" s="33" t="s">
        <v>59</v>
      </c>
      <c r="S45" s="33"/>
      <c r="T45" s="33"/>
    </row>
    <row r="46" hidden="1">
      <c r="A46" s="17">
        <f t="shared" si="2"/>
        <v>44</v>
      </c>
      <c r="B46" s="42" t="s">
        <v>78</v>
      </c>
      <c r="C46" s="36" t="s">
        <v>198</v>
      </c>
      <c r="D46" s="36"/>
      <c r="E46" s="36"/>
      <c r="F46" s="17"/>
      <c r="G46" s="17" t="s">
        <v>2</v>
      </c>
      <c r="H46" s="38"/>
      <c r="I46" s="38"/>
      <c r="J46" s="38" t="s">
        <v>82</v>
      </c>
      <c r="K46" s="38" t="s">
        <v>199</v>
      </c>
      <c r="L46" s="38" t="s">
        <v>200</v>
      </c>
      <c r="M46" s="38"/>
      <c r="N46" s="44" t="s">
        <v>23</v>
      </c>
      <c r="O46" s="52"/>
      <c r="P46" s="40" t="str">
        <f t="shared" si="1"/>
        <v>×</v>
      </c>
      <c r="Q46" s="33" t="s">
        <v>59</v>
      </c>
      <c r="S46" s="33"/>
      <c r="T46" s="33"/>
    </row>
    <row r="47" hidden="1">
      <c r="A47" s="17">
        <f t="shared" si="2"/>
        <v>45</v>
      </c>
      <c r="B47" s="34" t="s">
        <v>201</v>
      </c>
      <c r="C47" s="34" t="s">
        <v>202</v>
      </c>
      <c r="D47" s="36" t="s">
        <v>203</v>
      </c>
      <c r="E47" s="36"/>
      <c r="F47" s="17"/>
      <c r="G47" s="17" t="s">
        <v>7</v>
      </c>
      <c r="H47" s="38"/>
      <c r="I47" s="38"/>
      <c r="J47" s="38" t="s">
        <v>204</v>
      </c>
      <c r="K47" s="38" t="s">
        <v>205</v>
      </c>
      <c r="L47" s="38" t="s">
        <v>206</v>
      </c>
      <c r="M47" s="38"/>
      <c r="N47" s="44" t="s">
        <v>23</v>
      </c>
      <c r="O47" s="39"/>
      <c r="P47" s="40" t="str">
        <f t="shared" si="1"/>
        <v>×</v>
      </c>
      <c r="Q47" s="41" t="s">
        <v>59</v>
      </c>
      <c r="S47" s="33"/>
      <c r="T47" s="33"/>
    </row>
    <row r="48" hidden="1">
      <c r="A48" s="17">
        <f t="shared" si="2"/>
        <v>46</v>
      </c>
      <c r="B48" s="42" t="s">
        <v>201</v>
      </c>
      <c r="C48" s="42" t="s">
        <v>202</v>
      </c>
      <c r="D48" s="36" t="s">
        <v>207</v>
      </c>
      <c r="E48" s="36"/>
      <c r="F48" s="17"/>
      <c r="G48" s="17" t="s">
        <v>7</v>
      </c>
      <c r="H48" s="38"/>
      <c r="I48" s="38"/>
      <c r="J48" s="38" t="s">
        <v>204</v>
      </c>
      <c r="K48" s="38" t="s">
        <v>208</v>
      </c>
      <c r="L48" s="38" t="s">
        <v>209</v>
      </c>
      <c r="M48" s="38"/>
      <c r="N48" s="44" t="s">
        <v>23</v>
      </c>
      <c r="O48" s="13"/>
      <c r="P48" s="40" t="str">
        <f t="shared" si="1"/>
        <v>×</v>
      </c>
      <c r="Q48" s="33" t="s">
        <v>59</v>
      </c>
      <c r="S48" s="41"/>
      <c r="T48" s="33"/>
    </row>
    <row r="49" hidden="1">
      <c r="A49" s="17">
        <f t="shared" si="2"/>
        <v>47</v>
      </c>
      <c r="B49" s="42" t="s">
        <v>201</v>
      </c>
      <c r="C49" s="36" t="s">
        <v>210</v>
      </c>
      <c r="D49" s="36" t="s">
        <v>211</v>
      </c>
      <c r="E49" s="36" t="s">
        <v>212</v>
      </c>
      <c r="F49" s="17"/>
      <c r="G49" s="17" t="s">
        <v>2</v>
      </c>
      <c r="H49" s="38"/>
      <c r="I49" s="38"/>
      <c r="J49" s="38" t="s">
        <v>213</v>
      </c>
      <c r="K49" s="38" t="s">
        <v>214</v>
      </c>
      <c r="L49" s="38" t="s">
        <v>215</v>
      </c>
      <c r="M49" s="38"/>
      <c r="N49" s="44" t="s">
        <v>23</v>
      </c>
      <c r="O49" s="39" t="s">
        <v>216</v>
      </c>
      <c r="P49" s="40" t="str">
        <f t="shared" si="1"/>
        <v>×</v>
      </c>
      <c r="Q49" s="33" t="s">
        <v>59</v>
      </c>
      <c r="R49" s="54" t="s">
        <v>217</v>
      </c>
      <c r="S49" s="41"/>
      <c r="T49" s="33"/>
    </row>
    <row r="50" hidden="1">
      <c r="A50" s="17">
        <f t="shared" si="2"/>
        <v>48</v>
      </c>
      <c r="B50" s="42" t="s">
        <v>201</v>
      </c>
      <c r="C50" s="55" t="s">
        <v>210</v>
      </c>
      <c r="D50" s="55" t="s">
        <v>211</v>
      </c>
      <c r="E50" s="36" t="s">
        <v>218</v>
      </c>
      <c r="F50" s="17"/>
      <c r="G50" s="17" t="s">
        <v>2</v>
      </c>
      <c r="H50" s="38"/>
      <c r="I50" s="38"/>
      <c r="J50" s="38" t="s">
        <v>219</v>
      </c>
      <c r="K50" s="38" t="s">
        <v>214</v>
      </c>
      <c r="L50" s="38" t="s">
        <v>220</v>
      </c>
      <c r="M50" s="38"/>
      <c r="N50" s="44" t="s">
        <v>23</v>
      </c>
      <c r="O50" s="39" t="s">
        <v>216</v>
      </c>
      <c r="P50" s="40" t="str">
        <f t="shared" si="1"/>
        <v>×</v>
      </c>
      <c r="Q50" s="33" t="s">
        <v>59</v>
      </c>
      <c r="R50" s="54" t="s">
        <v>217</v>
      </c>
      <c r="S50" s="33"/>
      <c r="T50" s="33"/>
    </row>
    <row r="51" hidden="1">
      <c r="A51" s="17">
        <f t="shared" si="2"/>
        <v>49</v>
      </c>
      <c r="B51" s="42" t="s">
        <v>201</v>
      </c>
      <c r="C51" s="55" t="s">
        <v>210</v>
      </c>
      <c r="D51" s="36" t="s">
        <v>221</v>
      </c>
      <c r="E51" s="36" t="s">
        <v>212</v>
      </c>
      <c r="F51" s="17"/>
      <c r="G51" s="17" t="s">
        <v>2</v>
      </c>
      <c r="H51" s="38"/>
      <c r="I51" s="38"/>
      <c r="J51" s="38" t="s">
        <v>222</v>
      </c>
      <c r="K51" s="38" t="s">
        <v>214</v>
      </c>
      <c r="L51" s="38" t="s">
        <v>223</v>
      </c>
      <c r="M51" s="38"/>
      <c r="N51" s="44" t="s">
        <v>23</v>
      </c>
      <c r="O51" s="39" t="s">
        <v>216</v>
      </c>
      <c r="P51" s="40" t="str">
        <f t="shared" si="1"/>
        <v>×</v>
      </c>
      <c r="Q51" s="33" t="s">
        <v>59</v>
      </c>
      <c r="R51" s="54" t="s">
        <v>217</v>
      </c>
      <c r="S51" s="33"/>
      <c r="T51" s="33"/>
    </row>
    <row r="52" hidden="1">
      <c r="A52" s="17">
        <f t="shared" si="2"/>
        <v>50</v>
      </c>
      <c r="B52" s="42" t="s">
        <v>201</v>
      </c>
      <c r="C52" s="55" t="s">
        <v>210</v>
      </c>
      <c r="D52" s="55" t="s">
        <v>221</v>
      </c>
      <c r="E52" s="36" t="s">
        <v>218</v>
      </c>
      <c r="F52" s="17"/>
      <c r="G52" s="17" t="s">
        <v>2</v>
      </c>
      <c r="H52" s="38"/>
      <c r="I52" s="38"/>
      <c r="J52" s="38" t="s">
        <v>224</v>
      </c>
      <c r="K52" s="38" t="s">
        <v>214</v>
      </c>
      <c r="L52" s="38" t="s">
        <v>223</v>
      </c>
      <c r="M52" s="38"/>
      <c r="N52" s="44" t="s">
        <v>23</v>
      </c>
      <c r="O52" s="39" t="s">
        <v>216</v>
      </c>
      <c r="P52" s="40" t="str">
        <f t="shared" si="1"/>
        <v>×</v>
      </c>
      <c r="Q52" s="33" t="s">
        <v>59</v>
      </c>
      <c r="R52" s="54" t="s">
        <v>217</v>
      </c>
      <c r="S52" s="33"/>
      <c r="T52" s="33"/>
    </row>
    <row r="53" hidden="1">
      <c r="A53" s="17">
        <f t="shared" si="2"/>
        <v>51</v>
      </c>
      <c r="B53" s="42" t="s">
        <v>201</v>
      </c>
      <c r="C53" s="55" t="s">
        <v>210</v>
      </c>
      <c r="D53" s="36" t="s">
        <v>225</v>
      </c>
      <c r="E53" s="36" t="s">
        <v>218</v>
      </c>
      <c r="F53" s="17"/>
      <c r="G53" s="17" t="s">
        <v>2</v>
      </c>
      <c r="H53" s="38"/>
      <c r="I53" s="38"/>
      <c r="J53" s="38" t="s">
        <v>226</v>
      </c>
      <c r="K53" s="38" t="s">
        <v>227</v>
      </c>
      <c r="L53" s="38" t="s">
        <v>228</v>
      </c>
      <c r="M53" s="38"/>
      <c r="N53" s="44" t="s">
        <v>23</v>
      </c>
      <c r="O53" s="39"/>
      <c r="P53" s="40" t="str">
        <f t="shared" si="1"/>
        <v>×</v>
      </c>
      <c r="Q53" s="33" t="s">
        <v>59</v>
      </c>
      <c r="S53" s="33"/>
      <c r="T53" s="33"/>
    </row>
    <row r="54" hidden="1">
      <c r="A54" s="17">
        <f t="shared" si="2"/>
        <v>52</v>
      </c>
      <c r="B54" s="42" t="s">
        <v>201</v>
      </c>
      <c r="C54" s="36" t="s">
        <v>229</v>
      </c>
      <c r="D54" s="36"/>
      <c r="E54" s="36"/>
      <c r="F54" s="17"/>
      <c r="G54" s="17" t="s">
        <v>7</v>
      </c>
      <c r="H54" s="38"/>
      <c r="I54" s="38"/>
      <c r="J54" s="38" t="s">
        <v>204</v>
      </c>
      <c r="K54" s="38" t="s">
        <v>230</v>
      </c>
      <c r="L54" s="38" t="s">
        <v>231</v>
      </c>
      <c r="M54" s="38"/>
      <c r="N54" s="44" t="s">
        <v>23</v>
      </c>
      <c r="O54" s="39"/>
      <c r="P54" s="40" t="str">
        <f t="shared" si="1"/>
        <v>×</v>
      </c>
      <c r="Q54" s="33" t="s">
        <v>59</v>
      </c>
      <c r="S54" s="33"/>
      <c r="T54" s="33"/>
    </row>
    <row r="55" hidden="1">
      <c r="A55" s="17">
        <f t="shared" si="2"/>
        <v>53</v>
      </c>
      <c r="B55" s="42" t="s">
        <v>201</v>
      </c>
      <c r="C55" s="34" t="s">
        <v>232</v>
      </c>
      <c r="D55" s="36" t="s">
        <v>233</v>
      </c>
      <c r="E55" s="36"/>
      <c r="F55" s="17"/>
      <c r="G55" s="17" t="s">
        <v>2</v>
      </c>
      <c r="H55" s="38"/>
      <c r="I55" s="38" t="s">
        <v>234</v>
      </c>
      <c r="J55" s="38" t="s">
        <v>235</v>
      </c>
      <c r="K55" s="38" t="s">
        <v>236</v>
      </c>
      <c r="L55" s="38" t="s">
        <v>237</v>
      </c>
      <c r="M55" s="38"/>
      <c r="N55" s="44" t="s">
        <v>23</v>
      </c>
      <c r="O55" s="13"/>
      <c r="P55" s="40" t="str">
        <f t="shared" si="1"/>
        <v>×</v>
      </c>
      <c r="Q55" s="33" t="s">
        <v>59</v>
      </c>
      <c r="S55" s="33"/>
      <c r="T55" s="33" t="s">
        <v>45</v>
      </c>
    </row>
    <row r="56" hidden="1">
      <c r="A56" s="17">
        <f t="shared" si="2"/>
        <v>54</v>
      </c>
      <c r="B56" s="42" t="s">
        <v>201</v>
      </c>
      <c r="C56" s="47" t="s">
        <v>232</v>
      </c>
      <c r="D56" s="36" t="s">
        <v>238</v>
      </c>
      <c r="E56" s="36"/>
      <c r="F56" s="17"/>
      <c r="G56" s="17" t="s">
        <v>2</v>
      </c>
      <c r="H56" s="38"/>
      <c r="I56" s="38" t="s">
        <v>239</v>
      </c>
      <c r="J56" s="38" t="s">
        <v>235</v>
      </c>
      <c r="K56" s="38" t="s">
        <v>240</v>
      </c>
      <c r="L56" s="38" t="s">
        <v>241</v>
      </c>
      <c r="M56" s="38"/>
      <c r="N56" s="44" t="s">
        <v>23</v>
      </c>
      <c r="O56" s="13"/>
      <c r="P56" s="40" t="str">
        <f t="shared" si="1"/>
        <v>×</v>
      </c>
      <c r="Q56" s="33" t="s">
        <v>59</v>
      </c>
      <c r="S56" s="33"/>
      <c r="T56" s="33" t="s">
        <v>45</v>
      </c>
    </row>
    <row r="57" hidden="1">
      <c r="A57" s="17">
        <f t="shared" si="2"/>
        <v>55</v>
      </c>
      <c r="B57" s="42" t="s">
        <v>201</v>
      </c>
      <c r="C57" s="36" t="s">
        <v>242</v>
      </c>
      <c r="D57" s="36"/>
      <c r="E57" s="36"/>
      <c r="F57" s="17"/>
      <c r="G57" s="17" t="s">
        <v>2</v>
      </c>
      <c r="H57" s="38"/>
      <c r="I57" s="38" t="s">
        <v>243</v>
      </c>
      <c r="J57" s="38" t="s">
        <v>204</v>
      </c>
      <c r="K57" s="38" t="s">
        <v>244</v>
      </c>
      <c r="L57" s="38" t="s">
        <v>245</v>
      </c>
      <c r="M57" s="38"/>
      <c r="N57" s="44" t="s">
        <v>23</v>
      </c>
      <c r="O57" s="13"/>
      <c r="P57" s="40" t="str">
        <f t="shared" si="1"/>
        <v>×</v>
      </c>
      <c r="Q57" s="33" t="s">
        <v>59</v>
      </c>
      <c r="S57" s="33"/>
      <c r="T57" s="33"/>
    </row>
    <row r="58" hidden="1">
      <c r="A58" s="17">
        <f t="shared" si="2"/>
        <v>56</v>
      </c>
      <c r="B58" s="42" t="s">
        <v>201</v>
      </c>
      <c r="C58" s="36" t="s">
        <v>246</v>
      </c>
      <c r="D58" s="36"/>
      <c r="E58" s="36"/>
      <c r="F58" s="17"/>
      <c r="G58" s="17" t="s">
        <v>7</v>
      </c>
      <c r="H58" s="38"/>
      <c r="I58" s="38"/>
      <c r="J58" s="38" t="s">
        <v>204</v>
      </c>
      <c r="K58" s="38" t="s">
        <v>247</v>
      </c>
      <c r="L58" s="38" t="s">
        <v>248</v>
      </c>
      <c r="M58" s="38"/>
      <c r="N58" s="44" t="s">
        <v>23</v>
      </c>
      <c r="O58" s="13"/>
      <c r="P58" s="40" t="str">
        <f t="shared" si="1"/>
        <v>×</v>
      </c>
      <c r="Q58" s="33" t="s">
        <v>59</v>
      </c>
      <c r="S58" s="33"/>
      <c r="T58" s="33"/>
    </row>
    <row r="59" hidden="1">
      <c r="A59" s="17">
        <f t="shared" si="2"/>
        <v>57</v>
      </c>
      <c r="B59" s="42" t="s">
        <v>201</v>
      </c>
      <c r="C59" s="36" t="s">
        <v>249</v>
      </c>
      <c r="D59" s="36"/>
      <c r="E59" s="36"/>
      <c r="F59" s="17"/>
      <c r="G59" s="17" t="s">
        <v>2</v>
      </c>
      <c r="H59" s="38"/>
      <c r="I59" s="38"/>
      <c r="J59" s="38" t="s">
        <v>204</v>
      </c>
      <c r="K59" s="38" t="s">
        <v>250</v>
      </c>
      <c r="L59" s="38" t="s">
        <v>251</v>
      </c>
      <c r="M59" s="38"/>
      <c r="N59" s="44" t="s">
        <v>23</v>
      </c>
      <c r="O59" s="13"/>
      <c r="P59" s="40" t="str">
        <f t="shared" si="1"/>
        <v>×</v>
      </c>
      <c r="Q59" s="33" t="s">
        <v>59</v>
      </c>
      <c r="S59" s="33"/>
      <c r="T59" s="33"/>
    </row>
    <row r="60" hidden="1">
      <c r="A60" s="17">
        <f t="shared" si="2"/>
        <v>58</v>
      </c>
      <c r="B60" s="42" t="s">
        <v>201</v>
      </c>
      <c r="C60" s="36" t="s">
        <v>252</v>
      </c>
      <c r="D60" s="36"/>
      <c r="E60" s="36"/>
      <c r="F60" s="17"/>
      <c r="G60" s="17" t="s">
        <v>2</v>
      </c>
      <c r="H60" s="38"/>
      <c r="I60" s="38"/>
      <c r="J60" s="38" t="s">
        <v>204</v>
      </c>
      <c r="K60" s="38" t="s">
        <v>253</v>
      </c>
      <c r="L60" s="38" t="s">
        <v>254</v>
      </c>
      <c r="M60" s="38"/>
      <c r="N60" s="44" t="s">
        <v>23</v>
      </c>
      <c r="O60" s="13"/>
      <c r="P60" s="40" t="str">
        <f t="shared" si="1"/>
        <v>×</v>
      </c>
      <c r="Q60" s="33" t="s">
        <v>59</v>
      </c>
      <c r="S60" s="33"/>
      <c r="T60" s="33"/>
    </row>
    <row r="61" hidden="1">
      <c r="A61" s="17">
        <f t="shared" si="2"/>
        <v>59</v>
      </c>
      <c r="B61" s="42" t="s">
        <v>201</v>
      </c>
      <c r="C61" s="36" t="s">
        <v>255</v>
      </c>
      <c r="D61" s="36"/>
      <c r="E61" s="36"/>
      <c r="F61" s="17"/>
      <c r="G61" s="17" t="s">
        <v>2</v>
      </c>
      <c r="H61" s="38"/>
      <c r="I61" s="38" t="s">
        <v>256</v>
      </c>
      <c r="J61" s="38" t="s">
        <v>204</v>
      </c>
      <c r="K61" s="38" t="s">
        <v>257</v>
      </c>
      <c r="L61" s="38" t="s">
        <v>258</v>
      </c>
      <c r="M61" s="38"/>
      <c r="N61" s="44" t="s">
        <v>23</v>
      </c>
      <c r="O61" s="13"/>
      <c r="P61" s="40" t="str">
        <f t="shared" si="1"/>
        <v>×</v>
      </c>
      <c r="Q61" s="33" t="s">
        <v>59</v>
      </c>
      <c r="S61" s="33"/>
      <c r="T61" s="33"/>
    </row>
    <row r="62" hidden="1">
      <c r="A62" s="17">
        <f t="shared" si="2"/>
        <v>60</v>
      </c>
      <c r="B62" s="42" t="s">
        <v>201</v>
      </c>
      <c r="C62" s="34" t="s">
        <v>259</v>
      </c>
      <c r="D62" s="36" t="s">
        <v>61</v>
      </c>
      <c r="E62" s="36"/>
      <c r="F62" s="56" t="s">
        <v>260</v>
      </c>
      <c r="G62" s="17" t="s">
        <v>2</v>
      </c>
      <c r="H62" s="38"/>
      <c r="I62" s="38" t="s">
        <v>261</v>
      </c>
      <c r="J62" s="38" t="s">
        <v>204</v>
      </c>
      <c r="K62" s="38" t="s">
        <v>262</v>
      </c>
      <c r="L62" s="38" t="s">
        <v>263</v>
      </c>
      <c r="M62" s="38"/>
      <c r="N62" s="44" t="s">
        <v>23</v>
      </c>
      <c r="O62" s="13"/>
      <c r="P62" s="40" t="str">
        <f t="shared" si="1"/>
        <v>×</v>
      </c>
      <c r="Q62" s="33" t="s">
        <v>59</v>
      </c>
      <c r="S62" s="33"/>
      <c r="T62" s="33"/>
    </row>
    <row r="63" hidden="1">
      <c r="A63" s="17">
        <f t="shared" si="2"/>
        <v>61</v>
      </c>
      <c r="B63" s="42" t="s">
        <v>201</v>
      </c>
      <c r="C63" s="42" t="s">
        <v>259</v>
      </c>
      <c r="D63" s="36" t="s">
        <v>65</v>
      </c>
      <c r="E63" s="36"/>
      <c r="F63" s="17"/>
      <c r="G63" s="17" t="s">
        <v>2</v>
      </c>
      <c r="H63" s="38" t="s">
        <v>264</v>
      </c>
      <c r="I63" s="38"/>
      <c r="J63" s="17" t="s">
        <v>66</v>
      </c>
      <c r="K63" s="38" t="s">
        <v>265</v>
      </c>
      <c r="L63" s="38" t="s">
        <v>266</v>
      </c>
      <c r="M63" s="38"/>
      <c r="N63" s="44" t="s">
        <v>23</v>
      </c>
      <c r="O63" s="13"/>
      <c r="P63" s="40" t="str">
        <f t="shared" si="1"/>
        <v>×</v>
      </c>
      <c r="Q63" s="33" t="s">
        <v>59</v>
      </c>
      <c r="S63" s="33"/>
      <c r="T63" s="50"/>
      <c r="Z63" s="1"/>
    </row>
    <row r="64" hidden="1">
      <c r="A64" s="17">
        <f t="shared" si="2"/>
        <v>62</v>
      </c>
      <c r="B64" s="42" t="s">
        <v>201</v>
      </c>
      <c r="C64" s="42" t="s">
        <v>259</v>
      </c>
      <c r="D64" s="36" t="s">
        <v>267</v>
      </c>
      <c r="E64" s="36"/>
      <c r="F64" s="17"/>
      <c r="G64" s="17" t="s">
        <v>2</v>
      </c>
      <c r="H64" s="38"/>
      <c r="I64" s="38"/>
      <c r="J64" s="17" t="s">
        <v>66</v>
      </c>
      <c r="K64" s="38" t="s">
        <v>268</v>
      </c>
      <c r="L64" s="38" t="s">
        <v>269</v>
      </c>
      <c r="M64" s="38"/>
      <c r="N64" s="44" t="s">
        <v>23</v>
      </c>
      <c r="O64" s="13"/>
      <c r="P64" s="40" t="str">
        <f t="shared" si="1"/>
        <v>×</v>
      </c>
      <c r="Q64" s="33" t="s">
        <v>59</v>
      </c>
      <c r="S64" s="33"/>
      <c r="T64" s="50"/>
      <c r="Z64" s="1"/>
    </row>
    <row r="65" hidden="1">
      <c r="A65" s="17">
        <f t="shared" si="2"/>
        <v>63</v>
      </c>
      <c r="B65" s="42" t="s">
        <v>201</v>
      </c>
      <c r="C65" s="34" t="s">
        <v>270</v>
      </c>
      <c r="D65" s="36" t="s">
        <v>88</v>
      </c>
      <c r="E65" s="36"/>
      <c r="F65" s="17"/>
      <c r="G65" s="17" t="s">
        <v>8</v>
      </c>
      <c r="H65" s="38"/>
      <c r="I65" s="38"/>
      <c r="J65" s="38" t="s">
        <v>204</v>
      </c>
      <c r="K65" s="38" t="s">
        <v>271</v>
      </c>
      <c r="L65" s="38" t="s">
        <v>272</v>
      </c>
      <c r="M65" s="38"/>
      <c r="N65" s="44" t="s">
        <v>23</v>
      </c>
      <c r="O65" s="39"/>
      <c r="P65" s="40" t="str">
        <f t="shared" si="1"/>
        <v>×</v>
      </c>
      <c r="Q65" s="33" t="s">
        <v>59</v>
      </c>
      <c r="S65" s="33"/>
      <c r="T65" s="33"/>
    </row>
    <row r="66" hidden="1">
      <c r="A66" s="17">
        <f t="shared" si="2"/>
        <v>64</v>
      </c>
      <c r="B66" s="42" t="s">
        <v>201</v>
      </c>
      <c r="C66" s="42" t="s">
        <v>270</v>
      </c>
      <c r="D66" s="36" t="s">
        <v>273</v>
      </c>
      <c r="E66" s="36"/>
      <c r="F66" s="17"/>
      <c r="G66" s="17" t="s">
        <v>8</v>
      </c>
      <c r="H66" s="38"/>
      <c r="I66" s="38"/>
      <c r="J66" s="38" t="s">
        <v>204</v>
      </c>
      <c r="K66" s="38" t="s">
        <v>274</v>
      </c>
      <c r="L66" s="38" t="s">
        <v>275</v>
      </c>
      <c r="M66" s="38"/>
      <c r="N66" s="44" t="s">
        <v>23</v>
      </c>
      <c r="O66" s="39"/>
      <c r="P66" s="40" t="str">
        <f t="shared" si="1"/>
        <v>×</v>
      </c>
      <c r="Q66" s="33" t="s">
        <v>59</v>
      </c>
      <c r="R66" s="57"/>
      <c r="S66" s="33"/>
      <c r="T66" s="33"/>
    </row>
    <row r="67" hidden="1">
      <c r="A67" s="17">
        <f t="shared" si="2"/>
        <v>65</v>
      </c>
      <c r="B67" s="42" t="s">
        <v>201</v>
      </c>
      <c r="C67" s="34" t="s">
        <v>232</v>
      </c>
      <c r="D67" s="36"/>
      <c r="E67" s="36"/>
      <c r="F67" s="17"/>
      <c r="G67" s="17" t="s">
        <v>2</v>
      </c>
      <c r="H67" s="38"/>
      <c r="I67" s="38"/>
      <c r="J67" s="38" t="s">
        <v>204</v>
      </c>
      <c r="K67" s="38" t="s">
        <v>276</v>
      </c>
      <c r="L67" s="38" t="s">
        <v>277</v>
      </c>
      <c r="M67" s="38"/>
      <c r="N67" s="44" t="s">
        <v>23</v>
      </c>
      <c r="O67" s="39"/>
      <c r="P67" s="40" t="str">
        <f t="shared" si="1"/>
        <v>×</v>
      </c>
      <c r="Q67" s="33" t="s">
        <v>59</v>
      </c>
      <c r="S67" s="33"/>
      <c r="T67" s="33"/>
    </row>
    <row r="68" hidden="1">
      <c r="A68" s="17">
        <f t="shared" si="2"/>
        <v>66</v>
      </c>
      <c r="B68" s="42" t="s">
        <v>201</v>
      </c>
      <c r="C68" s="34" t="s">
        <v>278</v>
      </c>
      <c r="D68" s="36" t="s">
        <v>279</v>
      </c>
      <c r="E68" s="36"/>
      <c r="F68" s="17"/>
      <c r="G68" s="17" t="s">
        <v>2</v>
      </c>
      <c r="H68" s="38"/>
      <c r="I68" s="38" t="s">
        <v>280</v>
      </c>
      <c r="J68" s="38" t="s">
        <v>281</v>
      </c>
      <c r="K68" s="38" t="s">
        <v>282</v>
      </c>
      <c r="L68" s="38" t="s">
        <v>258</v>
      </c>
      <c r="M68" s="38" t="s">
        <v>41</v>
      </c>
      <c r="N68" s="17" t="s">
        <v>43</v>
      </c>
      <c r="O68" s="39" t="s">
        <v>283</v>
      </c>
      <c r="P68" s="40" t="str">
        <f t="shared" si="1"/>
        <v>〇</v>
      </c>
      <c r="Q68" s="33" t="s">
        <v>45</v>
      </c>
      <c r="S68" s="33"/>
      <c r="T68" s="33"/>
    </row>
    <row r="69" hidden="1">
      <c r="A69" s="17">
        <f t="shared" si="2"/>
        <v>67</v>
      </c>
      <c r="B69" s="42" t="s">
        <v>201</v>
      </c>
      <c r="C69" s="42" t="s">
        <v>278</v>
      </c>
      <c r="D69" s="34" t="s">
        <v>284</v>
      </c>
      <c r="E69" s="36" t="s">
        <v>285</v>
      </c>
      <c r="F69" s="17"/>
      <c r="G69" s="17" t="s">
        <v>2</v>
      </c>
      <c r="H69" s="38" t="s">
        <v>286</v>
      </c>
      <c r="I69" s="38"/>
      <c r="J69" s="17" t="s">
        <v>66</v>
      </c>
      <c r="K69" s="38" t="s">
        <v>287</v>
      </c>
      <c r="L69" s="38" t="s">
        <v>288</v>
      </c>
      <c r="M69" s="38" t="s">
        <v>41</v>
      </c>
      <c r="N69" s="17" t="s">
        <v>43</v>
      </c>
      <c r="O69" s="13"/>
      <c r="P69" s="40" t="str">
        <f t="shared" si="1"/>
        <v>〇</v>
      </c>
      <c r="Q69" s="33" t="s">
        <v>45</v>
      </c>
      <c r="S69" s="33"/>
      <c r="T69" s="33"/>
    </row>
    <row r="70" hidden="1">
      <c r="A70" s="17">
        <f t="shared" si="2"/>
        <v>68</v>
      </c>
      <c r="B70" s="42" t="s">
        <v>201</v>
      </c>
      <c r="C70" s="42" t="s">
        <v>278</v>
      </c>
      <c r="D70" s="42" t="s">
        <v>284</v>
      </c>
      <c r="E70" s="36" t="s">
        <v>289</v>
      </c>
      <c r="F70" s="17"/>
      <c r="G70" s="17" t="s">
        <v>2</v>
      </c>
      <c r="H70" s="38"/>
      <c r="I70" s="38"/>
      <c r="J70" s="17"/>
      <c r="K70" s="38" t="s">
        <v>290</v>
      </c>
      <c r="L70" s="38" t="s">
        <v>291</v>
      </c>
      <c r="M70" s="38" t="s">
        <v>41</v>
      </c>
      <c r="N70" s="17" t="s">
        <v>43</v>
      </c>
      <c r="O70" s="13"/>
      <c r="P70" s="40" t="str">
        <f t="shared" si="1"/>
        <v>〇</v>
      </c>
      <c r="Q70" s="33" t="s">
        <v>45</v>
      </c>
      <c r="S70" s="33"/>
      <c r="T70" s="33"/>
    </row>
    <row r="71" hidden="1">
      <c r="A71" s="17">
        <f t="shared" si="2"/>
        <v>69</v>
      </c>
      <c r="B71" s="42" t="s">
        <v>201</v>
      </c>
      <c r="C71" s="42" t="s">
        <v>278</v>
      </c>
      <c r="D71" s="42" t="s">
        <v>284</v>
      </c>
      <c r="E71" s="36" t="s">
        <v>292</v>
      </c>
      <c r="F71" s="17"/>
      <c r="G71" s="17" t="s">
        <v>2</v>
      </c>
      <c r="H71" s="38" t="s">
        <v>293</v>
      </c>
      <c r="I71" s="38"/>
      <c r="J71" s="17" t="s">
        <v>66</v>
      </c>
      <c r="K71" s="38" t="s">
        <v>294</v>
      </c>
      <c r="L71" s="38" t="s">
        <v>295</v>
      </c>
      <c r="M71" s="38" t="s">
        <v>41</v>
      </c>
      <c r="N71" s="17" t="s">
        <v>43</v>
      </c>
      <c r="O71" s="13"/>
      <c r="P71" s="40" t="str">
        <f t="shared" si="1"/>
        <v>〇</v>
      </c>
      <c r="Q71" s="33" t="s">
        <v>45</v>
      </c>
      <c r="S71" s="33"/>
      <c r="T71" s="33"/>
    </row>
    <row r="72" hidden="1">
      <c r="A72" s="17">
        <f t="shared" si="2"/>
        <v>70</v>
      </c>
      <c r="B72" s="42" t="s">
        <v>201</v>
      </c>
      <c r="C72" s="42" t="s">
        <v>278</v>
      </c>
      <c r="D72" s="42" t="s">
        <v>284</v>
      </c>
      <c r="E72" s="36" t="s">
        <v>278</v>
      </c>
      <c r="F72" s="17"/>
      <c r="G72" s="17" t="s">
        <v>2</v>
      </c>
      <c r="H72" s="38"/>
      <c r="I72" s="38"/>
      <c r="J72" s="17" t="s">
        <v>66</v>
      </c>
      <c r="K72" s="38" t="s">
        <v>296</v>
      </c>
      <c r="L72" s="38" t="s">
        <v>297</v>
      </c>
      <c r="M72" s="38" t="s">
        <v>41</v>
      </c>
      <c r="N72" s="17" t="s">
        <v>43</v>
      </c>
      <c r="O72" s="39"/>
      <c r="P72" s="40" t="str">
        <f t="shared" si="1"/>
        <v>〇</v>
      </c>
      <c r="Q72" s="33" t="s">
        <v>45</v>
      </c>
      <c r="S72" s="33"/>
      <c r="T72" s="33"/>
    </row>
    <row r="73" hidden="1">
      <c r="A73" s="17">
        <f t="shared" si="2"/>
        <v>71</v>
      </c>
      <c r="B73" s="42" t="s">
        <v>201</v>
      </c>
      <c r="C73" s="42" t="s">
        <v>278</v>
      </c>
      <c r="D73" s="42" t="s">
        <v>284</v>
      </c>
      <c r="E73" s="36" t="s">
        <v>298</v>
      </c>
      <c r="F73" s="17"/>
      <c r="G73" s="17" t="s">
        <v>2</v>
      </c>
      <c r="H73" s="38" t="s">
        <v>299</v>
      </c>
      <c r="I73" s="38"/>
      <c r="J73" s="17" t="s">
        <v>66</v>
      </c>
      <c r="K73" s="38" t="s">
        <v>300</v>
      </c>
      <c r="L73" s="38" t="s">
        <v>301</v>
      </c>
      <c r="M73" s="38" t="s">
        <v>41</v>
      </c>
      <c r="N73" s="17" t="s">
        <v>43</v>
      </c>
      <c r="O73" s="39"/>
      <c r="P73" s="40" t="str">
        <f t="shared" si="1"/>
        <v>〇</v>
      </c>
      <c r="Q73" s="33" t="s">
        <v>45</v>
      </c>
      <c r="S73" s="33"/>
      <c r="T73" s="33"/>
    </row>
    <row r="74" hidden="1">
      <c r="A74" s="17">
        <f t="shared" si="2"/>
        <v>72</v>
      </c>
      <c r="B74" s="42" t="s">
        <v>201</v>
      </c>
      <c r="C74" s="42" t="s">
        <v>278</v>
      </c>
      <c r="D74" s="34" t="s">
        <v>302</v>
      </c>
      <c r="E74" s="36" t="s">
        <v>285</v>
      </c>
      <c r="F74" s="17"/>
      <c r="G74" s="17" t="s">
        <v>2</v>
      </c>
      <c r="H74" s="38" t="s">
        <v>286</v>
      </c>
      <c r="I74" s="38"/>
      <c r="J74" s="17" t="s">
        <v>66</v>
      </c>
      <c r="K74" s="38" t="s">
        <v>303</v>
      </c>
      <c r="L74" s="38" t="s">
        <v>288</v>
      </c>
      <c r="M74" s="38" t="s">
        <v>41</v>
      </c>
      <c r="N74" s="17" t="s">
        <v>43</v>
      </c>
      <c r="O74" s="13"/>
      <c r="P74" s="40" t="str">
        <f t="shared" si="1"/>
        <v>〇</v>
      </c>
      <c r="Q74" s="41" t="s">
        <v>45</v>
      </c>
      <c r="S74" s="33"/>
      <c r="T74" s="33"/>
    </row>
    <row r="75" hidden="1">
      <c r="A75" s="17">
        <f t="shared" si="2"/>
        <v>73</v>
      </c>
      <c r="B75" s="42" t="s">
        <v>201</v>
      </c>
      <c r="C75" s="42" t="s">
        <v>278</v>
      </c>
      <c r="D75" s="42" t="s">
        <v>302</v>
      </c>
      <c r="E75" s="36" t="s">
        <v>289</v>
      </c>
      <c r="F75" s="17"/>
      <c r="G75" s="17" t="s">
        <v>2</v>
      </c>
      <c r="H75" s="38"/>
      <c r="I75" s="38"/>
      <c r="J75" s="17" t="s">
        <v>66</v>
      </c>
      <c r="K75" s="38" t="s">
        <v>304</v>
      </c>
      <c r="L75" s="38" t="s">
        <v>291</v>
      </c>
      <c r="M75" s="38" t="s">
        <v>41</v>
      </c>
      <c r="N75" s="17" t="s">
        <v>43</v>
      </c>
      <c r="O75" s="13"/>
      <c r="P75" s="40" t="str">
        <f t="shared" si="1"/>
        <v>〇</v>
      </c>
      <c r="Q75" s="41" t="s">
        <v>45</v>
      </c>
      <c r="S75" s="33"/>
      <c r="T75" s="33"/>
    </row>
    <row r="76" hidden="1">
      <c r="A76" s="17">
        <f t="shared" si="2"/>
        <v>74</v>
      </c>
      <c r="B76" s="42" t="s">
        <v>201</v>
      </c>
      <c r="C76" s="42" t="s">
        <v>278</v>
      </c>
      <c r="D76" s="42" t="s">
        <v>302</v>
      </c>
      <c r="E76" s="36" t="s">
        <v>292</v>
      </c>
      <c r="F76" s="17"/>
      <c r="G76" s="17" t="s">
        <v>2</v>
      </c>
      <c r="H76" s="38"/>
      <c r="I76" s="38"/>
      <c r="J76" s="17" t="s">
        <v>66</v>
      </c>
      <c r="K76" s="38" t="s">
        <v>305</v>
      </c>
      <c r="L76" s="38" t="s">
        <v>295</v>
      </c>
      <c r="M76" s="38" t="s">
        <v>41</v>
      </c>
      <c r="N76" s="17" t="s">
        <v>43</v>
      </c>
      <c r="O76" s="13"/>
      <c r="P76" s="40" t="str">
        <f t="shared" si="1"/>
        <v>〇</v>
      </c>
      <c r="Q76" s="33" t="s">
        <v>45</v>
      </c>
      <c r="S76" s="33"/>
      <c r="T76" s="33"/>
    </row>
    <row r="77" hidden="1">
      <c r="A77" s="17">
        <f t="shared" si="2"/>
        <v>75</v>
      </c>
      <c r="B77" s="42" t="s">
        <v>201</v>
      </c>
      <c r="C77" s="42" t="s">
        <v>278</v>
      </c>
      <c r="D77" s="42" t="s">
        <v>302</v>
      </c>
      <c r="E77" s="36" t="s">
        <v>278</v>
      </c>
      <c r="F77" s="17"/>
      <c r="G77" s="17" t="s">
        <v>2</v>
      </c>
      <c r="H77" s="38"/>
      <c r="I77" s="38"/>
      <c r="J77" s="17" t="s">
        <v>66</v>
      </c>
      <c r="K77" s="38" t="s">
        <v>306</v>
      </c>
      <c r="L77" s="38" t="s">
        <v>297</v>
      </c>
      <c r="M77" s="38" t="s">
        <v>41</v>
      </c>
      <c r="N77" s="17" t="s">
        <v>43</v>
      </c>
      <c r="O77" s="13"/>
      <c r="P77" s="40" t="str">
        <f t="shared" si="1"/>
        <v>〇</v>
      </c>
      <c r="Q77" s="33" t="s">
        <v>45</v>
      </c>
      <c r="S77" s="33"/>
      <c r="T77" s="33"/>
    </row>
    <row r="78" hidden="1">
      <c r="A78" s="17">
        <f t="shared" si="2"/>
        <v>76</v>
      </c>
      <c r="B78" s="42" t="s">
        <v>201</v>
      </c>
      <c r="C78" s="42" t="s">
        <v>278</v>
      </c>
      <c r="D78" s="42" t="s">
        <v>302</v>
      </c>
      <c r="E78" s="36" t="s">
        <v>298</v>
      </c>
      <c r="F78" s="17"/>
      <c r="G78" s="17" t="s">
        <v>2</v>
      </c>
      <c r="H78" s="38" t="s">
        <v>307</v>
      </c>
      <c r="I78" s="38"/>
      <c r="J78" s="17" t="s">
        <v>66</v>
      </c>
      <c r="K78" s="38" t="s">
        <v>308</v>
      </c>
      <c r="L78" s="38" t="s">
        <v>309</v>
      </c>
      <c r="M78" s="38" t="s">
        <v>41</v>
      </c>
      <c r="N78" s="17" t="s">
        <v>43</v>
      </c>
      <c r="O78" s="13"/>
      <c r="P78" s="40" t="str">
        <f t="shared" si="1"/>
        <v>〇</v>
      </c>
      <c r="Q78" s="33" t="s">
        <v>45</v>
      </c>
      <c r="S78" s="33"/>
      <c r="T78" s="33"/>
    </row>
    <row r="79" hidden="1">
      <c r="A79" s="17">
        <f t="shared" si="2"/>
        <v>77</v>
      </c>
      <c r="B79" s="42" t="s">
        <v>201</v>
      </c>
      <c r="C79" s="42" t="s">
        <v>278</v>
      </c>
      <c r="D79" s="34" t="s">
        <v>310</v>
      </c>
      <c r="E79" s="36" t="s">
        <v>285</v>
      </c>
      <c r="F79" s="17"/>
      <c r="G79" s="17" t="s">
        <v>2</v>
      </c>
      <c r="H79" s="38" t="s">
        <v>286</v>
      </c>
      <c r="I79" s="38"/>
      <c r="J79" s="17" t="s">
        <v>66</v>
      </c>
      <c r="K79" s="38" t="s">
        <v>311</v>
      </c>
      <c r="L79" s="38" t="s">
        <v>288</v>
      </c>
      <c r="M79" s="38" t="s">
        <v>41</v>
      </c>
      <c r="N79" s="17" t="s">
        <v>43</v>
      </c>
      <c r="O79" s="13"/>
      <c r="P79" s="40" t="str">
        <f t="shared" si="1"/>
        <v>〇</v>
      </c>
      <c r="Q79" s="33" t="s">
        <v>45</v>
      </c>
      <c r="S79" s="33"/>
      <c r="T79" s="33"/>
    </row>
    <row r="80" hidden="1">
      <c r="A80" s="17">
        <f t="shared" si="2"/>
        <v>78</v>
      </c>
      <c r="B80" s="42" t="s">
        <v>201</v>
      </c>
      <c r="C80" s="42" t="s">
        <v>278</v>
      </c>
      <c r="D80" s="42" t="s">
        <v>310</v>
      </c>
      <c r="E80" s="36" t="s">
        <v>292</v>
      </c>
      <c r="F80" s="17"/>
      <c r="G80" s="17" t="s">
        <v>2</v>
      </c>
      <c r="H80" s="38" t="s">
        <v>293</v>
      </c>
      <c r="I80" s="38"/>
      <c r="J80" s="17" t="s">
        <v>66</v>
      </c>
      <c r="K80" s="38" t="s">
        <v>312</v>
      </c>
      <c r="L80" s="38" t="s">
        <v>295</v>
      </c>
      <c r="M80" s="38" t="s">
        <v>41</v>
      </c>
      <c r="N80" s="17" t="s">
        <v>43</v>
      </c>
      <c r="O80" s="13"/>
      <c r="P80" s="40" t="str">
        <f t="shared" si="1"/>
        <v>〇</v>
      </c>
      <c r="Q80" s="33" t="s">
        <v>45</v>
      </c>
      <c r="S80" s="33"/>
      <c r="T80" s="33"/>
    </row>
    <row r="81" hidden="1">
      <c r="A81" s="17">
        <f t="shared" si="2"/>
        <v>79</v>
      </c>
      <c r="B81" s="42" t="s">
        <v>201</v>
      </c>
      <c r="C81" s="42" t="s">
        <v>278</v>
      </c>
      <c r="D81" s="42" t="s">
        <v>310</v>
      </c>
      <c r="E81" s="36" t="s">
        <v>313</v>
      </c>
      <c r="F81" s="17"/>
      <c r="G81" s="17" t="s">
        <v>2</v>
      </c>
      <c r="H81" s="38" t="s">
        <v>314</v>
      </c>
      <c r="I81" s="38"/>
      <c r="J81" s="17" t="s">
        <v>66</v>
      </c>
      <c r="K81" s="38" t="s">
        <v>315</v>
      </c>
      <c r="L81" s="38" t="s">
        <v>316</v>
      </c>
      <c r="M81" s="38" t="s">
        <v>41</v>
      </c>
      <c r="N81" s="17" t="s">
        <v>43</v>
      </c>
      <c r="O81" s="13"/>
      <c r="P81" s="40" t="str">
        <f t="shared" si="1"/>
        <v>〇</v>
      </c>
      <c r="Q81" s="33" t="s">
        <v>45</v>
      </c>
      <c r="S81" s="33"/>
      <c r="T81" s="33"/>
    </row>
    <row r="82" hidden="1">
      <c r="A82" s="17">
        <f t="shared" si="2"/>
        <v>80</v>
      </c>
      <c r="B82" s="42" t="s">
        <v>201</v>
      </c>
      <c r="C82" s="42" t="s">
        <v>278</v>
      </c>
      <c r="D82" s="42" t="s">
        <v>310</v>
      </c>
      <c r="E82" s="36" t="s">
        <v>278</v>
      </c>
      <c r="F82" s="17"/>
      <c r="G82" s="17" t="s">
        <v>2</v>
      </c>
      <c r="H82" s="38"/>
      <c r="I82" s="38"/>
      <c r="J82" s="17" t="s">
        <v>66</v>
      </c>
      <c r="K82" s="38" t="s">
        <v>317</v>
      </c>
      <c r="L82" s="38" t="s">
        <v>318</v>
      </c>
      <c r="M82" s="38" t="s">
        <v>41</v>
      </c>
      <c r="N82" s="17" t="s">
        <v>43</v>
      </c>
      <c r="O82" s="13"/>
      <c r="P82" s="40" t="str">
        <f t="shared" si="1"/>
        <v>〇</v>
      </c>
      <c r="Q82" s="33" t="s">
        <v>45</v>
      </c>
      <c r="S82" s="33"/>
      <c r="T82" s="33"/>
    </row>
    <row r="83" hidden="1">
      <c r="A83" s="17">
        <f t="shared" si="2"/>
        <v>81</v>
      </c>
      <c r="B83" s="42" t="s">
        <v>201</v>
      </c>
      <c r="C83" s="42" t="s">
        <v>278</v>
      </c>
      <c r="D83" s="42" t="s">
        <v>310</v>
      </c>
      <c r="E83" s="36" t="s">
        <v>298</v>
      </c>
      <c r="F83" s="17"/>
      <c r="G83" s="17" t="s">
        <v>2</v>
      </c>
      <c r="H83" s="38" t="s">
        <v>319</v>
      </c>
      <c r="I83" s="38"/>
      <c r="J83" s="17" t="s">
        <v>66</v>
      </c>
      <c r="K83" s="38" t="s">
        <v>320</v>
      </c>
      <c r="L83" s="38" t="s">
        <v>321</v>
      </c>
      <c r="M83" s="38" t="s">
        <v>41</v>
      </c>
      <c r="N83" s="17" t="s">
        <v>43</v>
      </c>
      <c r="O83" s="13"/>
      <c r="P83" s="40" t="str">
        <f t="shared" si="1"/>
        <v>〇</v>
      </c>
      <c r="Q83" s="33" t="s">
        <v>45</v>
      </c>
      <c r="S83" s="33"/>
      <c r="T83" s="33"/>
    </row>
    <row r="84" hidden="1">
      <c r="A84" s="17">
        <f t="shared" si="2"/>
        <v>82</v>
      </c>
      <c r="B84" s="42" t="s">
        <v>201</v>
      </c>
      <c r="C84" s="42" t="s">
        <v>278</v>
      </c>
      <c r="D84" s="34" t="s">
        <v>322</v>
      </c>
      <c r="E84" s="36" t="s">
        <v>285</v>
      </c>
      <c r="F84" s="17"/>
      <c r="G84" s="17" t="s">
        <v>7</v>
      </c>
      <c r="H84" s="38" t="s">
        <v>286</v>
      </c>
      <c r="I84" s="38"/>
      <c r="J84" s="17" t="s">
        <v>66</v>
      </c>
      <c r="K84" s="38" t="s">
        <v>323</v>
      </c>
      <c r="L84" s="38" t="s">
        <v>288</v>
      </c>
      <c r="M84" s="38" t="s">
        <v>41</v>
      </c>
      <c r="N84" s="17" t="s">
        <v>43</v>
      </c>
      <c r="O84" s="39"/>
      <c r="P84" s="40" t="str">
        <f t="shared" si="1"/>
        <v>〇</v>
      </c>
      <c r="Q84" s="33" t="s">
        <v>45</v>
      </c>
      <c r="S84" s="33"/>
      <c r="T84" s="33"/>
    </row>
    <row r="85" hidden="1">
      <c r="A85" s="17">
        <f t="shared" si="2"/>
        <v>83</v>
      </c>
      <c r="B85" s="42" t="s">
        <v>201</v>
      </c>
      <c r="C85" s="42" t="s">
        <v>278</v>
      </c>
      <c r="D85" s="42" t="s">
        <v>322</v>
      </c>
      <c r="E85" s="36" t="s">
        <v>292</v>
      </c>
      <c r="F85" s="17"/>
      <c r="G85" s="17" t="s">
        <v>7</v>
      </c>
      <c r="H85" s="38" t="s">
        <v>293</v>
      </c>
      <c r="I85" s="38"/>
      <c r="J85" s="17" t="s">
        <v>66</v>
      </c>
      <c r="K85" s="38" t="s">
        <v>324</v>
      </c>
      <c r="L85" s="38" t="s">
        <v>295</v>
      </c>
      <c r="M85" s="38" t="s">
        <v>41</v>
      </c>
      <c r="N85" s="17" t="s">
        <v>43</v>
      </c>
      <c r="O85" s="39"/>
      <c r="P85" s="40" t="str">
        <f t="shared" si="1"/>
        <v>〇</v>
      </c>
      <c r="Q85" s="33" t="s">
        <v>45</v>
      </c>
      <c r="S85" s="33"/>
      <c r="T85" s="33"/>
    </row>
    <row r="86" hidden="1">
      <c r="A86" s="17">
        <f t="shared" si="2"/>
        <v>84</v>
      </c>
      <c r="B86" s="42" t="s">
        <v>201</v>
      </c>
      <c r="C86" s="42" t="s">
        <v>278</v>
      </c>
      <c r="D86" s="42" t="s">
        <v>322</v>
      </c>
      <c r="E86" s="36" t="s">
        <v>313</v>
      </c>
      <c r="F86" s="17"/>
      <c r="G86" s="17" t="s">
        <v>7</v>
      </c>
      <c r="H86" s="38" t="s">
        <v>314</v>
      </c>
      <c r="I86" s="38"/>
      <c r="J86" s="17" t="s">
        <v>66</v>
      </c>
      <c r="K86" s="38" t="s">
        <v>325</v>
      </c>
      <c r="L86" s="38" t="s">
        <v>316</v>
      </c>
      <c r="M86" s="38" t="s">
        <v>41</v>
      </c>
      <c r="N86" s="17" t="s">
        <v>43</v>
      </c>
      <c r="O86" s="39"/>
      <c r="P86" s="40" t="str">
        <f t="shared" si="1"/>
        <v>〇</v>
      </c>
      <c r="Q86" s="33" t="s">
        <v>45</v>
      </c>
      <c r="S86" s="33"/>
      <c r="T86" s="33"/>
    </row>
    <row r="87" hidden="1">
      <c r="A87" s="17">
        <f t="shared" si="2"/>
        <v>85</v>
      </c>
      <c r="B87" s="42" t="s">
        <v>201</v>
      </c>
      <c r="C87" s="42" t="s">
        <v>278</v>
      </c>
      <c r="D87" s="42" t="s">
        <v>322</v>
      </c>
      <c r="E87" s="36" t="s">
        <v>278</v>
      </c>
      <c r="F87" s="17"/>
      <c r="G87" s="17" t="s">
        <v>2</v>
      </c>
      <c r="H87" s="38"/>
      <c r="I87" s="38"/>
      <c r="J87" s="17" t="s">
        <v>66</v>
      </c>
      <c r="K87" s="38" t="s">
        <v>326</v>
      </c>
      <c r="L87" s="38" t="s">
        <v>318</v>
      </c>
      <c r="M87" s="38" t="s">
        <v>41</v>
      </c>
      <c r="N87" s="17" t="s">
        <v>43</v>
      </c>
      <c r="O87" s="13"/>
      <c r="P87" s="40" t="str">
        <f t="shared" si="1"/>
        <v>〇</v>
      </c>
      <c r="Q87" s="33" t="s">
        <v>45</v>
      </c>
      <c r="S87" s="33"/>
      <c r="T87" s="33"/>
    </row>
    <row r="88" hidden="1">
      <c r="A88" s="17">
        <f t="shared" si="2"/>
        <v>86</v>
      </c>
      <c r="B88" s="42" t="s">
        <v>201</v>
      </c>
      <c r="C88" s="42" t="s">
        <v>278</v>
      </c>
      <c r="D88" s="42" t="s">
        <v>322</v>
      </c>
      <c r="E88" s="36" t="s">
        <v>298</v>
      </c>
      <c r="F88" s="17"/>
      <c r="G88" s="17" t="s">
        <v>2</v>
      </c>
      <c r="H88" s="38" t="s">
        <v>319</v>
      </c>
      <c r="I88" s="38"/>
      <c r="J88" s="17" t="s">
        <v>66</v>
      </c>
      <c r="K88" s="38" t="s">
        <v>327</v>
      </c>
      <c r="L88" s="38" t="s">
        <v>328</v>
      </c>
      <c r="M88" s="38" t="s">
        <v>41</v>
      </c>
      <c r="N88" s="17" t="s">
        <v>43</v>
      </c>
      <c r="O88" s="13"/>
      <c r="P88" s="40" t="str">
        <f t="shared" si="1"/>
        <v>〇</v>
      </c>
      <c r="Q88" s="33" t="s">
        <v>45</v>
      </c>
      <c r="S88" s="33"/>
      <c r="T88" s="33"/>
    </row>
    <row r="89" hidden="1">
      <c r="A89" s="17">
        <f t="shared" si="2"/>
        <v>87</v>
      </c>
      <c r="B89" s="42" t="s">
        <v>201</v>
      </c>
      <c r="C89" s="42" t="s">
        <v>278</v>
      </c>
      <c r="D89" s="34" t="s">
        <v>329</v>
      </c>
      <c r="E89" s="36" t="s">
        <v>285</v>
      </c>
      <c r="F89" s="17"/>
      <c r="G89" s="17" t="s">
        <v>2</v>
      </c>
      <c r="H89" s="38" t="s">
        <v>286</v>
      </c>
      <c r="I89" s="38"/>
      <c r="J89" s="17" t="s">
        <v>66</v>
      </c>
      <c r="K89" s="38" t="s">
        <v>330</v>
      </c>
      <c r="L89" s="38" t="s">
        <v>288</v>
      </c>
      <c r="M89" s="38" t="s">
        <v>41</v>
      </c>
      <c r="N89" s="17" t="s">
        <v>43</v>
      </c>
      <c r="O89" s="13"/>
      <c r="P89" s="40" t="str">
        <f t="shared" si="1"/>
        <v>〇</v>
      </c>
      <c r="Q89" s="33" t="s">
        <v>45</v>
      </c>
      <c r="S89" s="33"/>
      <c r="T89" s="33"/>
    </row>
    <row r="90" hidden="1">
      <c r="A90" s="17">
        <f t="shared" si="2"/>
        <v>88</v>
      </c>
      <c r="B90" s="42" t="s">
        <v>201</v>
      </c>
      <c r="C90" s="42" t="s">
        <v>278</v>
      </c>
      <c r="D90" s="42" t="s">
        <v>329</v>
      </c>
      <c r="E90" s="36" t="s">
        <v>292</v>
      </c>
      <c r="F90" s="17"/>
      <c r="G90" s="17" t="s">
        <v>2</v>
      </c>
      <c r="H90" s="38" t="s">
        <v>293</v>
      </c>
      <c r="I90" s="38"/>
      <c r="J90" s="17" t="s">
        <v>66</v>
      </c>
      <c r="K90" s="38" t="s">
        <v>331</v>
      </c>
      <c r="L90" s="38" t="s">
        <v>295</v>
      </c>
      <c r="M90" s="38" t="s">
        <v>41</v>
      </c>
      <c r="N90" s="17" t="s">
        <v>43</v>
      </c>
      <c r="O90" s="13"/>
      <c r="P90" s="40" t="str">
        <f t="shared" si="1"/>
        <v>〇</v>
      </c>
      <c r="Q90" s="33" t="s">
        <v>45</v>
      </c>
      <c r="S90" s="33"/>
      <c r="T90" s="33"/>
    </row>
    <row r="91" hidden="1">
      <c r="A91" s="17">
        <f t="shared" si="2"/>
        <v>89</v>
      </c>
      <c r="B91" s="42" t="s">
        <v>201</v>
      </c>
      <c r="C91" s="42" t="s">
        <v>278</v>
      </c>
      <c r="D91" s="42" t="s">
        <v>329</v>
      </c>
      <c r="E91" s="36" t="s">
        <v>278</v>
      </c>
      <c r="F91" s="17"/>
      <c r="G91" s="17" t="s">
        <v>2</v>
      </c>
      <c r="H91" s="38"/>
      <c r="I91" s="38"/>
      <c r="J91" s="17" t="s">
        <v>66</v>
      </c>
      <c r="K91" s="38" t="s">
        <v>332</v>
      </c>
      <c r="L91" s="38" t="s">
        <v>333</v>
      </c>
      <c r="M91" s="38" t="s">
        <v>41</v>
      </c>
      <c r="N91" s="17" t="s">
        <v>43</v>
      </c>
      <c r="O91" s="13"/>
      <c r="P91" s="40" t="str">
        <f t="shared" si="1"/>
        <v>〇</v>
      </c>
      <c r="Q91" s="33" t="s">
        <v>45</v>
      </c>
      <c r="S91" s="33"/>
      <c r="T91" s="33"/>
    </row>
    <row r="92" hidden="1">
      <c r="A92" s="17">
        <f t="shared" si="2"/>
        <v>90</v>
      </c>
      <c r="B92" s="42" t="s">
        <v>201</v>
      </c>
      <c r="C92" s="42" t="s">
        <v>278</v>
      </c>
      <c r="D92" s="42" t="s">
        <v>329</v>
      </c>
      <c r="E92" s="36" t="s">
        <v>334</v>
      </c>
      <c r="F92" s="17"/>
      <c r="G92" s="17" t="s">
        <v>2</v>
      </c>
      <c r="H92" s="38"/>
      <c r="I92" s="38" t="s">
        <v>335</v>
      </c>
      <c r="J92" s="17" t="s">
        <v>66</v>
      </c>
      <c r="K92" s="38" t="s">
        <v>336</v>
      </c>
      <c r="L92" s="38" t="s">
        <v>337</v>
      </c>
      <c r="M92" s="38" t="s">
        <v>41</v>
      </c>
      <c r="N92" s="17" t="s">
        <v>43</v>
      </c>
      <c r="O92" s="13"/>
      <c r="P92" s="40" t="str">
        <f t="shared" si="1"/>
        <v>〇</v>
      </c>
      <c r="Q92" s="33" t="s">
        <v>45</v>
      </c>
      <c r="S92" s="33"/>
      <c r="T92" s="33"/>
    </row>
    <row r="93" hidden="1">
      <c r="A93" s="17">
        <f t="shared" si="2"/>
        <v>91</v>
      </c>
      <c r="B93" s="42" t="s">
        <v>201</v>
      </c>
      <c r="C93" s="42" t="s">
        <v>278</v>
      </c>
      <c r="D93" s="42" t="s">
        <v>329</v>
      </c>
      <c r="E93" s="36" t="s">
        <v>298</v>
      </c>
      <c r="F93" s="17"/>
      <c r="G93" s="17" t="s">
        <v>2</v>
      </c>
      <c r="H93" s="38" t="s">
        <v>307</v>
      </c>
      <c r="I93" s="38"/>
      <c r="J93" s="17" t="s">
        <v>66</v>
      </c>
      <c r="K93" s="38" t="s">
        <v>338</v>
      </c>
      <c r="L93" s="38" t="s">
        <v>339</v>
      </c>
      <c r="M93" s="38" t="s">
        <v>41</v>
      </c>
      <c r="N93" s="17" t="s">
        <v>43</v>
      </c>
      <c r="O93" s="13"/>
      <c r="P93" s="40" t="str">
        <f t="shared" si="1"/>
        <v>〇</v>
      </c>
      <c r="Q93" s="33" t="s">
        <v>45</v>
      </c>
      <c r="S93" s="33"/>
      <c r="T93" s="33"/>
    </row>
    <row r="94" hidden="1">
      <c r="A94" s="17">
        <f t="shared" si="2"/>
        <v>92</v>
      </c>
      <c r="B94" s="42" t="s">
        <v>201</v>
      </c>
      <c r="C94" s="42" t="s">
        <v>278</v>
      </c>
      <c r="D94" s="34" t="s">
        <v>340</v>
      </c>
      <c r="E94" s="36" t="s">
        <v>285</v>
      </c>
      <c r="F94" s="17"/>
      <c r="G94" s="17" t="s">
        <v>2</v>
      </c>
      <c r="H94" s="38" t="s">
        <v>341</v>
      </c>
      <c r="I94" s="38"/>
      <c r="J94" s="17" t="s">
        <v>66</v>
      </c>
      <c r="K94" s="38" t="s">
        <v>342</v>
      </c>
      <c r="L94" s="38" t="s">
        <v>288</v>
      </c>
      <c r="M94" s="38" t="s">
        <v>41</v>
      </c>
      <c r="N94" s="17" t="s">
        <v>43</v>
      </c>
      <c r="O94" s="13"/>
      <c r="P94" s="40" t="str">
        <f t="shared" si="1"/>
        <v>〇</v>
      </c>
      <c r="Q94" s="33" t="s">
        <v>45</v>
      </c>
      <c r="S94" s="33"/>
      <c r="T94" s="33"/>
    </row>
    <row r="95" hidden="1">
      <c r="A95" s="17">
        <f t="shared" si="2"/>
        <v>93</v>
      </c>
      <c r="B95" s="42" t="s">
        <v>201</v>
      </c>
      <c r="C95" s="42" t="s">
        <v>278</v>
      </c>
      <c r="D95" s="42" t="s">
        <v>340</v>
      </c>
      <c r="E95" s="36" t="s">
        <v>292</v>
      </c>
      <c r="F95" s="17"/>
      <c r="G95" s="17" t="s">
        <v>2</v>
      </c>
      <c r="H95" s="38" t="s">
        <v>343</v>
      </c>
      <c r="I95" s="38"/>
      <c r="J95" s="17" t="s">
        <v>66</v>
      </c>
      <c r="K95" s="38" t="s">
        <v>344</v>
      </c>
      <c r="L95" s="38" t="s">
        <v>295</v>
      </c>
      <c r="M95" s="38" t="s">
        <v>41</v>
      </c>
      <c r="N95" s="17" t="s">
        <v>43</v>
      </c>
      <c r="O95" s="13"/>
      <c r="P95" s="40" t="str">
        <f t="shared" si="1"/>
        <v>〇</v>
      </c>
      <c r="Q95" s="33" t="s">
        <v>45</v>
      </c>
      <c r="S95" s="33"/>
      <c r="T95" s="33"/>
    </row>
    <row r="96" hidden="1">
      <c r="A96" s="17">
        <f t="shared" si="2"/>
        <v>94</v>
      </c>
      <c r="B96" s="42" t="s">
        <v>201</v>
      </c>
      <c r="C96" s="42" t="s">
        <v>278</v>
      </c>
      <c r="D96" s="42" t="s">
        <v>340</v>
      </c>
      <c r="E96" s="36" t="s">
        <v>278</v>
      </c>
      <c r="F96" s="17"/>
      <c r="G96" s="17" t="s">
        <v>2</v>
      </c>
      <c r="H96" s="38"/>
      <c r="I96" s="38"/>
      <c r="J96" s="17" t="s">
        <v>66</v>
      </c>
      <c r="K96" s="38" t="s">
        <v>345</v>
      </c>
      <c r="L96" s="38" t="s">
        <v>333</v>
      </c>
      <c r="M96" s="38" t="s">
        <v>41</v>
      </c>
      <c r="N96" s="17" t="s">
        <v>43</v>
      </c>
      <c r="O96" s="13"/>
      <c r="P96" s="40" t="str">
        <f t="shared" si="1"/>
        <v>〇</v>
      </c>
      <c r="Q96" s="33" t="s">
        <v>45</v>
      </c>
      <c r="S96" s="33"/>
      <c r="T96" s="33"/>
    </row>
    <row r="97" hidden="1">
      <c r="A97" s="17">
        <f t="shared" si="2"/>
        <v>95</v>
      </c>
      <c r="B97" s="42" t="s">
        <v>201</v>
      </c>
      <c r="C97" s="42" t="s">
        <v>278</v>
      </c>
      <c r="D97" s="42" t="s">
        <v>340</v>
      </c>
      <c r="E97" s="36" t="s">
        <v>334</v>
      </c>
      <c r="F97" s="17"/>
      <c r="G97" s="17" t="s">
        <v>2</v>
      </c>
      <c r="H97" s="38"/>
      <c r="I97" s="38" t="s">
        <v>335</v>
      </c>
      <c r="J97" s="17" t="s">
        <v>66</v>
      </c>
      <c r="K97" s="38" t="s">
        <v>346</v>
      </c>
      <c r="L97" s="38" t="s">
        <v>347</v>
      </c>
      <c r="M97" s="38" t="s">
        <v>41</v>
      </c>
      <c r="N97" s="17" t="s">
        <v>43</v>
      </c>
      <c r="O97" s="13"/>
      <c r="P97" s="40" t="str">
        <f t="shared" si="1"/>
        <v>〇</v>
      </c>
      <c r="Q97" s="33" t="s">
        <v>45</v>
      </c>
      <c r="S97" s="33"/>
      <c r="T97" s="33"/>
    </row>
    <row r="98" hidden="1">
      <c r="A98" s="17">
        <f t="shared" si="2"/>
        <v>96</v>
      </c>
      <c r="B98" s="42" t="s">
        <v>201</v>
      </c>
      <c r="C98" s="42" t="s">
        <v>278</v>
      </c>
      <c r="D98" s="42" t="s">
        <v>340</v>
      </c>
      <c r="E98" s="36" t="s">
        <v>298</v>
      </c>
      <c r="F98" s="17"/>
      <c r="G98" s="17" t="s">
        <v>2</v>
      </c>
      <c r="H98" s="38" t="s">
        <v>307</v>
      </c>
      <c r="I98" s="38"/>
      <c r="J98" s="17" t="s">
        <v>66</v>
      </c>
      <c r="K98" s="38" t="s">
        <v>348</v>
      </c>
      <c r="L98" s="38" t="s">
        <v>349</v>
      </c>
      <c r="M98" s="38" t="s">
        <v>41</v>
      </c>
      <c r="N98" s="17" t="s">
        <v>43</v>
      </c>
      <c r="O98" s="13"/>
      <c r="P98" s="40" t="str">
        <f t="shared" si="1"/>
        <v>〇</v>
      </c>
      <c r="Q98" s="33" t="s">
        <v>45</v>
      </c>
      <c r="S98" s="33"/>
      <c r="T98" s="33"/>
    </row>
    <row r="99" hidden="1">
      <c r="A99" s="17">
        <f t="shared" si="2"/>
        <v>97</v>
      </c>
      <c r="B99" s="42" t="s">
        <v>201</v>
      </c>
      <c r="C99" s="42" t="s">
        <v>278</v>
      </c>
      <c r="D99" s="34" t="s">
        <v>350</v>
      </c>
      <c r="E99" s="36" t="s">
        <v>285</v>
      </c>
      <c r="F99" s="17"/>
      <c r="G99" s="17" t="s">
        <v>2</v>
      </c>
      <c r="H99" s="38" t="s">
        <v>286</v>
      </c>
      <c r="I99" s="38"/>
      <c r="J99" s="17" t="s">
        <v>66</v>
      </c>
      <c r="K99" s="38" t="s">
        <v>351</v>
      </c>
      <c r="L99" s="38" t="s">
        <v>288</v>
      </c>
      <c r="M99" s="38" t="s">
        <v>41</v>
      </c>
      <c r="N99" s="17" t="s">
        <v>43</v>
      </c>
      <c r="O99" s="13"/>
      <c r="P99" s="40" t="str">
        <f t="shared" si="1"/>
        <v>〇</v>
      </c>
      <c r="Q99" s="33" t="s">
        <v>45</v>
      </c>
      <c r="S99" s="33"/>
      <c r="T99" s="33"/>
    </row>
    <row r="100" hidden="1">
      <c r="A100" s="17">
        <f t="shared" si="2"/>
        <v>98</v>
      </c>
      <c r="B100" s="42" t="s">
        <v>201</v>
      </c>
      <c r="C100" s="42" t="s">
        <v>278</v>
      </c>
      <c r="D100" s="42" t="s">
        <v>350</v>
      </c>
      <c r="E100" s="36" t="s">
        <v>352</v>
      </c>
      <c r="F100" s="17"/>
      <c r="G100" s="17" t="s">
        <v>2</v>
      </c>
      <c r="H100" s="38" t="s">
        <v>353</v>
      </c>
      <c r="I100" s="38"/>
      <c r="J100" s="17" t="s">
        <v>66</v>
      </c>
      <c r="K100" s="38" t="s">
        <v>354</v>
      </c>
      <c r="L100" s="38" t="s">
        <v>355</v>
      </c>
      <c r="M100" s="38" t="s">
        <v>41</v>
      </c>
      <c r="N100" s="17" t="s">
        <v>43</v>
      </c>
      <c r="O100" s="13"/>
      <c r="P100" s="40" t="str">
        <f t="shared" si="1"/>
        <v>〇</v>
      </c>
      <c r="Q100" s="33" t="s">
        <v>45</v>
      </c>
      <c r="S100" s="33"/>
      <c r="T100" s="33"/>
    </row>
    <row r="101" hidden="1">
      <c r="A101" s="17">
        <f t="shared" si="2"/>
        <v>99</v>
      </c>
      <c r="B101" s="42" t="s">
        <v>201</v>
      </c>
      <c r="C101" s="42" t="s">
        <v>278</v>
      </c>
      <c r="D101" s="42" t="s">
        <v>350</v>
      </c>
      <c r="E101" s="36" t="s">
        <v>278</v>
      </c>
      <c r="F101" s="17"/>
      <c r="G101" s="17" t="s">
        <v>2</v>
      </c>
      <c r="H101" s="38"/>
      <c r="I101" s="38"/>
      <c r="J101" s="17" t="s">
        <v>66</v>
      </c>
      <c r="K101" s="38" t="s">
        <v>356</v>
      </c>
      <c r="L101" s="38" t="s">
        <v>357</v>
      </c>
      <c r="M101" s="38" t="s">
        <v>41</v>
      </c>
      <c r="N101" s="17" t="s">
        <v>43</v>
      </c>
      <c r="O101" s="13"/>
      <c r="P101" s="40" t="str">
        <f t="shared" si="1"/>
        <v>〇</v>
      </c>
      <c r="Q101" s="33" t="s">
        <v>45</v>
      </c>
      <c r="S101" s="33"/>
      <c r="T101" s="33"/>
    </row>
    <row r="102" hidden="1">
      <c r="A102" s="17">
        <f t="shared" si="2"/>
        <v>100</v>
      </c>
      <c r="B102" s="42" t="s">
        <v>201</v>
      </c>
      <c r="C102" s="42" t="s">
        <v>278</v>
      </c>
      <c r="D102" s="42" t="s">
        <v>350</v>
      </c>
      <c r="E102" s="36" t="s">
        <v>298</v>
      </c>
      <c r="F102" s="17"/>
      <c r="G102" s="17" t="s">
        <v>2</v>
      </c>
      <c r="H102" s="38"/>
      <c r="I102" s="38"/>
      <c r="J102" s="17" t="s">
        <v>66</v>
      </c>
      <c r="K102" s="38" t="s">
        <v>358</v>
      </c>
      <c r="L102" s="38" t="s">
        <v>359</v>
      </c>
      <c r="M102" s="38" t="s">
        <v>41</v>
      </c>
      <c r="N102" s="17" t="s">
        <v>43</v>
      </c>
      <c r="O102" s="13"/>
      <c r="P102" s="40" t="str">
        <f t="shared" si="1"/>
        <v>〇</v>
      </c>
      <c r="Q102" s="33" t="s">
        <v>45</v>
      </c>
      <c r="S102" s="33"/>
      <c r="T102" s="33"/>
    </row>
    <row r="103" hidden="1">
      <c r="A103" s="17">
        <f t="shared" si="2"/>
        <v>101</v>
      </c>
      <c r="B103" s="42" t="s">
        <v>201</v>
      </c>
      <c r="C103" s="42" t="s">
        <v>278</v>
      </c>
      <c r="D103" s="36" t="s">
        <v>360</v>
      </c>
      <c r="E103" s="36" t="s">
        <v>361</v>
      </c>
      <c r="F103" s="17"/>
      <c r="G103" s="17" t="s">
        <v>7</v>
      </c>
      <c r="H103" s="38"/>
      <c r="I103" s="38"/>
      <c r="J103" s="17" t="s">
        <v>66</v>
      </c>
      <c r="K103" s="38" t="s">
        <v>362</v>
      </c>
      <c r="L103" s="38" t="s">
        <v>363</v>
      </c>
      <c r="M103" s="38" t="s">
        <v>41</v>
      </c>
      <c r="N103" s="17" t="s">
        <v>43</v>
      </c>
      <c r="O103" s="39"/>
      <c r="P103" s="40" t="str">
        <f t="shared" si="1"/>
        <v>〇</v>
      </c>
      <c r="Q103" s="33" t="s">
        <v>45</v>
      </c>
      <c r="S103" s="33"/>
      <c r="T103" s="33"/>
    </row>
    <row r="104" hidden="1">
      <c r="A104" s="17">
        <f t="shared" si="2"/>
        <v>102</v>
      </c>
      <c r="B104" s="42" t="s">
        <v>201</v>
      </c>
      <c r="C104" s="42" t="s">
        <v>278</v>
      </c>
      <c r="D104" s="34" t="s">
        <v>364</v>
      </c>
      <c r="E104" s="36" t="s">
        <v>365</v>
      </c>
      <c r="F104" s="17"/>
      <c r="G104" s="17" t="s">
        <v>2</v>
      </c>
      <c r="H104" s="38"/>
      <c r="I104" s="38"/>
      <c r="J104" s="17" t="s">
        <v>66</v>
      </c>
      <c r="K104" s="38" t="s">
        <v>366</v>
      </c>
      <c r="L104" s="38" t="s">
        <v>367</v>
      </c>
      <c r="M104" s="38" t="s">
        <v>41</v>
      </c>
      <c r="N104" s="17" t="s">
        <v>43</v>
      </c>
      <c r="O104" s="13"/>
      <c r="P104" s="40" t="str">
        <f t="shared" si="1"/>
        <v>〇</v>
      </c>
      <c r="Q104" s="33" t="s">
        <v>45</v>
      </c>
      <c r="R104" s="1"/>
      <c r="S104" s="33"/>
      <c r="T104" s="33"/>
    </row>
    <row r="105" hidden="1">
      <c r="A105" s="17">
        <f t="shared" si="2"/>
        <v>103</v>
      </c>
      <c r="B105" s="42" t="s">
        <v>201</v>
      </c>
      <c r="C105" s="42" t="s">
        <v>278</v>
      </c>
      <c r="D105" s="42" t="s">
        <v>364</v>
      </c>
      <c r="E105" s="36" t="s">
        <v>278</v>
      </c>
      <c r="F105" s="17"/>
      <c r="G105" s="17" t="s">
        <v>2</v>
      </c>
      <c r="H105" s="38"/>
      <c r="I105" s="38"/>
      <c r="J105" s="17" t="s">
        <v>66</v>
      </c>
      <c r="K105" s="38" t="s">
        <v>368</v>
      </c>
      <c r="L105" s="38" t="s">
        <v>369</v>
      </c>
      <c r="M105" s="38" t="s">
        <v>41</v>
      </c>
      <c r="N105" s="17" t="s">
        <v>43</v>
      </c>
      <c r="O105" s="13"/>
      <c r="P105" s="40" t="str">
        <f t="shared" si="1"/>
        <v>〇</v>
      </c>
      <c r="Q105" s="33" t="s">
        <v>45</v>
      </c>
      <c r="S105" s="33"/>
      <c r="T105" s="50"/>
    </row>
    <row r="106" hidden="1">
      <c r="A106" s="17">
        <f t="shared" si="2"/>
        <v>104</v>
      </c>
      <c r="B106" s="42" t="s">
        <v>201</v>
      </c>
      <c r="C106" s="42" t="s">
        <v>278</v>
      </c>
      <c r="D106" s="42" t="s">
        <v>364</v>
      </c>
      <c r="E106" s="36" t="s">
        <v>370</v>
      </c>
      <c r="F106" s="17"/>
      <c r="G106" s="17" t="s">
        <v>2</v>
      </c>
      <c r="H106" s="38"/>
      <c r="I106" s="38"/>
      <c r="J106" s="17" t="s">
        <v>66</v>
      </c>
      <c r="K106" s="38" t="s">
        <v>371</v>
      </c>
      <c r="L106" s="38" t="s">
        <v>372</v>
      </c>
      <c r="M106" s="38" t="s">
        <v>41</v>
      </c>
      <c r="N106" s="17" t="s">
        <v>43</v>
      </c>
      <c r="O106" s="13"/>
      <c r="P106" s="40" t="str">
        <f t="shared" si="1"/>
        <v>〇</v>
      </c>
      <c r="Q106" s="33" t="s">
        <v>45</v>
      </c>
      <c r="S106" s="33"/>
      <c r="T106" s="50"/>
    </row>
    <row r="107" hidden="1">
      <c r="A107" s="17">
        <f t="shared" si="2"/>
        <v>105</v>
      </c>
      <c r="B107" s="42" t="s">
        <v>201</v>
      </c>
      <c r="C107" s="42" t="s">
        <v>278</v>
      </c>
      <c r="D107" s="34" t="s">
        <v>373</v>
      </c>
      <c r="E107" s="36" t="s">
        <v>278</v>
      </c>
      <c r="F107" s="17"/>
      <c r="G107" s="17" t="s">
        <v>2</v>
      </c>
      <c r="H107" s="38"/>
      <c r="I107" s="38"/>
      <c r="J107" s="17" t="s">
        <v>66</v>
      </c>
      <c r="K107" s="38" t="s">
        <v>374</v>
      </c>
      <c r="L107" s="38" t="s">
        <v>375</v>
      </c>
      <c r="M107" s="38" t="s">
        <v>41</v>
      </c>
      <c r="N107" s="17" t="s">
        <v>43</v>
      </c>
      <c r="O107" s="13"/>
      <c r="P107" s="40" t="str">
        <f t="shared" si="1"/>
        <v>〇</v>
      </c>
      <c r="Q107" s="33" t="s">
        <v>45</v>
      </c>
      <c r="S107" s="33"/>
      <c r="T107" s="50"/>
    </row>
    <row r="108" hidden="1">
      <c r="A108" s="17">
        <f t="shared" si="2"/>
        <v>106</v>
      </c>
      <c r="B108" s="42" t="s">
        <v>201</v>
      </c>
      <c r="C108" s="42" t="s">
        <v>278</v>
      </c>
      <c r="D108" s="34" t="s">
        <v>376</v>
      </c>
      <c r="E108" s="36" t="s">
        <v>377</v>
      </c>
      <c r="F108" s="17"/>
      <c r="G108" s="17" t="s">
        <v>2</v>
      </c>
      <c r="H108" s="38"/>
      <c r="I108" s="38"/>
      <c r="J108" s="17" t="s">
        <v>66</v>
      </c>
      <c r="K108" s="38" t="s">
        <v>378</v>
      </c>
      <c r="L108" s="38" t="s">
        <v>379</v>
      </c>
      <c r="M108" s="38" t="s">
        <v>41</v>
      </c>
      <c r="N108" s="17" t="s">
        <v>43</v>
      </c>
      <c r="O108" s="13"/>
      <c r="P108" s="40" t="str">
        <f t="shared" si="1"/>
        <v>〇</v>
      </c>
      <c r="Q108" s="33" t="s">
        <v>45</v>
      </c>
      <c r="S108" s="33"/>
      <c r="T108" s="50"/>
    </row>
    <row r="109" hidden="1">
      <c r="A109" s="17">
        <f t="shared" si="2"/>
        <v>107</v>
      </c>
      <c r="B109" s="42" t="s">
        <v>201</v>
      </c>
      <c r="C109" s="42" t="s">
        <v>278</v>
      </c>
      <c r="D109" s="42" t="s">
        <v>376</v>
      </c>
      <c r="E109" s="36" t="s">
        <v>285</v>
      </c>
      <c r="F109" s="17"/>
      <c r="G109" s="17" t="s">
        <v>2</v>
      </c>
      <c r="H109" s="38"/>
      <c r="I109" s="38"/>
      <c r="J109" s="17" t="s">
        <v>66</v>
      </c>
      <c r="K109" s="38" t="s">
        <v>380</v>
      </c>
      <c r="L109" s="38" t="s">
        <v>288</v>
      </c>
      <c r="M109" s="38" t="s">
        <v>41</v>
      </c>
      <c r="N109" s="17" t="s">
        <v>43</v>
      </c>
      <c r="O109" s="13"/>
      <c r="P109" s="40" t="str">
        <f t="shared" si="1"/>
        <v>〇</v>
      </c>
      <c r="Q109" s="33" t="s">
        <v>45</v>
      </c>
      <c r="S109" s="33"/>
      <c r="T109" s="50"/>
    </row>
    <row r="110" hidden="1">
      <c r="A110" s="17">
        <f t="shared" si="2"/>
        <v>108</v>
      </c>
      <c r="B110" s="42" t="s">
        <v>201</v>
      </c>
      <c r="C110" s="42" t="s">
        <v>278</v>
      </c>
      <c r="D110" s="42" t="s">
        <v>376</v>
      </c>
      <c r="E110" s="36" t="s">
        <v>381</v>
      </c>
      <c r="F110" s="17"/>
      <c r="G110" s="17" t="s">
        <v>2</v>
      </c>
      <c r="H110" s="38"/>
      <c r="I110" s="38"/>
      <c r="J110" s="17" t="s">
        <v>66</v>
      </c>
      <c r="K110" s="38" t="s">
        <v>382</v>
      </c>
      <c r="L110" s="38" t="s">
        <v>383</v>
      </c>
      <c r="M110" s="38" t="s">
        <v>41</v>
      </c>
      <c r="N110" s="17" t="s">
        <v>43</v>
      </c>
      <c r="O110" s="13"/>
      <c r="P110" s="40" t="str">
        <f t="shared" si="1"/>
        <v>〇</v>
      </c>
      <c r="Q110" s="33" t="s">
        <v>45</v>
      </c>
      <c r="S110" s="33"/>
      <c r="T110" s="50"/>
    </row>
    <row r="111" hidden="1">
      <c r="A111" s="17">
        <f t="shared" si="2"/>
        <v>109</v>
      </c>
      <c r="B111" s="42" t="s">
        <v>201</v>
      </c>
      <c r="C111" s="42" t="s">
        <v>278</v>
      </c>
      <c r="D111" s="42" t="s">
        <v>376</v>
      </c>
      <c r="E111" s="36" t="s">
        <v>384</v>
      </c>
      <c r="F111" s="17"/>
      <c r="G111" s="17" t="s">
        <v>2</v>
      </c>
      <c r="H111" s="38"/>
      <c r="I111" s="38"/>
      <c r="J111" s="17" t="s">
        <v>66</v>
      </c>
      <c r="K111" s="38" t="s">
        <v>385</v>
      </c>
      <c r="L111" s="38" t="s">
        <v>386</v>
      </c>
      <c r="M111" s="38" t="s">
        <v>41</v>
      </c>
      <c r="N111" s="17" t="s">
        <v>43</v>
      </c>
      <c r="O111" s="13"/>
      <c r="P111" s="40" t="str">
        <f t="shared" si="1"/>
        <v>〇</v>
      </c>
      <c r="Q111" s="33" t="s">
        <v>45</v>
      </c>
      <c r="S111" s="33"/>
      <c r="T111" s="50"/>
    </row>
    <row r="112" hidden="1">
      <c r="A112" s="17">
        <f t="shared" si="2"/>
        <v>110</v>
      </c>
      <c r="B112" s="42" t="s">
        <v>201</v>
      </c>
      <c r="C112" s="42" t="s">
        <v>278</v>
      </c>
      <c r="D112" s="42" t="s">
        <v>376</v>
      </c>
      <c r="E112" s="36" t="s">
        <v>278</v>
      </c>
      <c r="F112" s="17"/>
      <c r="G112" s="17" t="s">
        <v>2</v>
      </c>
      <c r="H112" s="38"/>
      <c r="I112" s="38"/>
      <c r="J112" s="17" t="s">
        <v>66</v>
      </c>
      <c r="K112" s="38" t="s">
        <v>387</v>
      </c>
      <c r="L112" s="38" t="s">
        <v>388</v>
      </c>
      <c r="M112" s="38" t="s">
        <v>41</v>
      </c>
      <c r="N112" s="17" t="s">
        <v>43</v>
      </c>
      <c r="O112" s="13"/>
      <c r="P112" s="40" t="str">
        <f t="shared" si="1"/>
        <v>〇</v>
      </c>
      <c r="Q112" s="33" t="s">
        <v>45</v>
      </c>
      <c r="S112" s="33"/>
      <c r="T112" s="50"/>
    </row>
    <row r="113" hidden="1">
      <c r="A113" s="17">
        <f t="shared" si="2"/>
        <v>111</v>
      </c>
      <c r="B113" s="42" t="s">
        <v>201</v>
      </c>
      <c r="C113" s="42" t="s">
        <v>278</v>
      </c>
      <c r="D113" s="42" t="s">
        <v>376</v>
      </c>
      <c r="E113" s="36" t="s">
        <v>389</v>
      </c>
      <c r="F113" s="17"/>
      <c r="G113" s="17" t="s">
        <v>7</v>
      </c>
      <c r="H113" s="38"/>
      <c r="I113" s="38"/>
      <c r="J113" s="17" t="s">
        <v>66</v>
      </c>
      <c r="K113" s="38" t="s">
        <v>390</v>
      </c>
      <c r="L113" s="38" t="s">
        <v>391</v>
      </c>
      <c r="M113" s="38" t="s">
        <v>41</v>
      </c>
      <c r="N113" s="17" t="s">
        <v>43</v>
      </c>
      <c r="O113" s="13"/>
      <c r="P113" s="40" t="str">
        <f t="shared" si="1"/>
        <v>〇</v>
      </c>
      <c r="Q113" s="33" t="s">
        <v>45</v>
      </c>
      <c r="S113" s="33"/>
      <c r="T113" s="50"/>
    </row>
    <row r="114" hidden="1">
      <c r="A114" s="17">
        <f t="shared" si="2"/>
        <v>112</v>
      </c>
      <c r="B114" s="42" t="s">
        <v>201</v>
      </c>
      <c r="C114" s="42" t="s">
        <v>278</v>
      </c>
      <c r="D114" s="34" t="s">
        <v>392</v>
      </c>
      <c r="E114" s="36" t="s">
        <v>285</v>
      </c>
      <c r="F114" s="17"/>
      <c r="G114" s="17" t="s">
        <v>2</v>
      </c>
      <c r="H114" s="38"/>
      <c r="I114" s="38"/>
      <c r="J114" s="17" t="s">
        <v>66</v>
      </c>
      <c r="K114" s="38" t="s">
        <v>393</v>
      </c>
      <c r="L114" s="38" t="s">
        <v>288</v>
      </c>
      <c r="M114" s="38" t="s">
        <v>41</v>
      </c>
      <c r="N114" s="17" t="s">
        <v>43</v>
      </c>
      <c r="O114" s="13"/>
      <c r="P114" s="40" t="str">
        <f t="shared" si="1"/>
        <v>〇</v>
      </c>
      <c r="Q114" s="33" t="s">
        <v>45</v>
      </c>
      <c r="S114" s="33"/>
      <c r="T114" s="50"/>
    </row>
    <row r="115" hidden="1">
      <c r="A115" s="17">
        <f t="shared" si="2"/>
        <v>113</v>
      </c>
      <c r="B115" s="42" t="s">
        <v>201</v>
      </c>
      <c r="C115" s="42" t="s">
        <v>278</v>
      </c>
      <c r="D115" s="42" t="s">
        <v>392</v>
      </c>
      <c r="E115" s="36" t="s">
        <v>278</v>
      </c>
      <c r="F115" s="17"/>
      <c r="G115" s="17" t="s">
        <v>2</v>
      </c>
      <c r="H115" s="38"/>
      <c r="I115" s="46" t="s">
        <v>394</v>
      </c>
      <c r="J115" s="17" t="s">
        <v>66</v>
      </c>
      <c r="K115" s="38" t="s">
        <v>395</v>
      </c>
      <c r="L115" s="38" t="s">
        <v>396</v>
      </c>
      <c r="M115" s="38"/>
      <c r="N115" s="44" t="s">
        <v>23</v>
      </c>
      <c r="O115" s="13" t="s">
        <v>397</v>
      </c>
      <c r="P115" s="40" t="str">
        <f t="shared" si="1"/>
        <v>×</v>
      </c>
      <c r="Q115" s="33" t="s">
        <v>45</v>
      </c>
      <c r="S115" s="33"/>
      <c r="T115" s="50"/>
    </row>
    <row r="116" hidden="1">
      <c r="A116" s="17">
        <f t="shared" si="2"/>
        <v>114</v>
      </c>
      <c r="B116" s="42" t="s">
        <v>201</v>
      </c>
      <c r="C116" s="42" t="s">
        <v>278</v>
      </c>
      <c r="D116" s="34" t="s">
        <v>398</v>
      </c>
      <c r="E116" s="36"/>
      <c r="F116" s="17"/>
      <c r="G116" s="17" t="s">
        <v>2</v>
      </c>
      <c r="H116" s="38"/>
      <c r="I116" s="38"/>
      <c r="J116" s="17" t="s">
        <v>66</v>
      </c>
      <c r="K116" s="38" t="s">
        <v>399</v>
      </c>
      <c r="L116" s="38" t="s">
        <v>400</v>
      </c>
      <c r="M116" s="38" t="s">
        <v>41</v>
      </c>
      <c r="N116" s="17" t="s">
        <v>43</v>
      </c>
      <c r="O116" s="13"/>
      <c r="P116" s="40" t="str">
        <f t="shared" si="1"/>
        <v>〇</v>
      </c>
      <c r="Q116" s="33" t="s">
        <v>45</v>
      </c>
      <c r="S116" s="33"/>
      <c r="T116" s="50"/>
    </row>
    <row r="117" hidden="1">
      <c r="A117" s="17">
        <f t="shared" si="2"/>
        <v>115</v>
      </c>
      <c r="B117" s="42" t="s">
        <v>201</v>
      </c>
      <c r="C117" s="42" t="s">
        <v>278</v>
      </c>
      <c r="D117" s="36" t="s">
        <v>401</v>
      </c>
      <c r="E117" s="36"/>
      <c r="F117" s="17"/>
      <c r="G117" s="17" t="s">
        <v>2</v>
      </c>
      <c r="H117" s="38"/>
      <c r="I117" s="46"/>
      <c r="J117" s="17" t="s">
        <v>66</v>
      </c>
      <c r="K117" s="38" t="s">
        <v>402</v>
      </c>
      <c r="L117" s="38" t="s">
        <v>403</v>
      </c>
      <c r="M117" s="38" t="s">
        <v>41</v>
      </c>
      <c r="N117" s="17" t="s">
        <v>43</v>
      </c>
      <c r="O117" s="13"/>
      <c r="P117" s="40" t="str">
        <f t="shared" si="1"/>
        <v>〇</v>
      </c>
      <c r="Q117" s="53" t="s">
        <v>45</v>
      </c>
      <c r="S117" s="33"/>
      <c r="T117" s="41"/>
    </row>
    <row r="118" hidden="1">
      <c r="A118" s="17">
        <f t="shared" si="2"/>
        <v>116</v>
      </c>
      <c r="B118" s="42" t="s">
        <v>201</v>
      </c>
      <c r="C118" s="42" t="s">
        <v>278</v>
      </c>
      <c r="D118" s="36" t="s">
        <v>404</v>
      </c>
      <c r="E118" s="36" t="s">
        <v>405</v>
      </c>
      <c r="F118" s="17"/>
      <c r="G118" s="17" t="s">
        <v>2</v>
      </c>
      <c r="H118" s="38"/>
      <c r="I118" s="38"/>
      <c r="J118" s="38" t="s">
        <v>406</v>
      </c>
      <c r="K118" s="38" t="s">
        <v>407</v>
      </c>
      <c r="L118" s="38" t="s">
        <v>408</v>
      </c>
      <c r="M118" s="38"/>
      <c r="N118" s="44" t="s">
        <v>23</v>
      </c>
      <c r="O118" s="13"/>
      <c r="P118" s="40" t="str">
        <f t="shared" si="1"/>
        <v>×</v>
      </c>
      <c r="Q118" s="53" t="s">
        <v>59</v>
      </c>
      <c r="S118" s="33"/>
      <c r="T118" s="41"/>
    </row>
    <row r="119" hidden="1">
      <c r="A119" s="17">
        <f t="shared" si="2"/>
        <v>117</v>
      </c>
      <c r="B119" s="42" t="s">
        <v>201</v>
      </c>
      <c r="C119" s="42" t="s">
        <v>278</v>
      </c>
      <c r="D119" s="42" t="s">
        <v>404</v>
      </c>
      <c r="E119" s="36" t="s">
        <v>409</v>
      </c>
      <c r="F119" s="17"/>
      <c r="G119" s="17" t="s">
        <v>2</v>
      </c>
      <c r="H119" s="38"/>
      <c r="I119" s="38" t="s">
        <v>410</v>
      </c>
      <c r="J119" s="38" t="s">
        <v>406</v>
      </c>
      <c r="K119" s="38" t="s">
        <v>411</v>
      </c>
      <c r="L119" s="38" t="s">
        <v>412</v>
      </c>
      <c r="M119" s="38"/>
      <c r="N119" s="44" t="s">
        <v>23</v>
      </c>
      <c r="O119" s="13"/>
      <c r="P119" s="40" t="str">
        <f t="shared" si="1"/>
        <v>×</v>
      </c>
      <c r="Q119" s="53" t="s">
        <v>59</v>
      </c>
      <c r="S119" s="33"/>
      <c r="T119" s="41"/>
    </row>
    <row r="120" hidden="1">
      <c r="A120" s="17">
        <f t="shared" si="2"/>
        <v>118</v>
      </c>
      <c r="B120" s="42" t="s">
        <v>201</v>
      </c>
      <c r="C120" s="42" t="s">
        <v>278</v>
      </c>
      <c r="D120" s="42" t="s">
        <v>404</v>
      </c>
      <c r="E120" s="36" t="s">
        <v>413</v>
      </c>
      <c r="F120" s="17"/>
      <c r="G120" s="17" t="s">
        <v>2</v>
      </c>
      <c r="H120" s="38"/>
      <c r="I120" s="38"/>
      <c r="J120" s="38" t="s">
        <v>406</v>
      </c>
      <c r="K120" s="38" t="s">
        <v>414</v>
      </c>
      <c r="L120" s="38" t="s">
        <v>408</v>
      </c>
      <c r="M120" s="38"/>
      <c r="N120" s="44" t="s">
        <v>23</v>
      </c>
      <c r="O120" s="13"/>
      <c r="P120" s="40" t="str">
        <f t="shared" si="1"/>
        <v>×</v>
      </c>
      <c r="Q120" s="53" t="s">
        <v>59</v>
      </c>
      <c r="S120" s="33"/>
      <c r="T120" s="41"/>
    </row>
    <row r="121" hidden="1">
      <c r="A121" s="17">
        <f t="shared" si="2"/>
        <v>119</v>
      </c>
      <c r="B121" s="42" t="s">
        <v>201</v>
      </c>
      <c r="C121" s="42" t="s">
        <v>278</v>
      </c>
      <c r="D121" s="42" t="s">
        <v>404</v>
      </c>
      <c r="E121" s="36" t="s">
        <v>415</v>
      </c>
      <c r="F121" s="17"/>
      <c r="G121" s="17" t="s">
        <v>2</v>
      </c>
      <c r="H121" s="38"/>
      <c r="I121" s="38"/>
      <c r="J121" s="38" t="s">
        <v>406</v>
      </c>
      <c r="K121" s="38" t="s">
        <v>416</v>
      </c>
      <c r="L121" s="38" t="s">
        <v>417</v>
      </c>
      <c r="M121" s="38"/>
      <c r="N121" s="44" t="s">
        <v>23</v>
      </c>
      <c r="O121" s="13"/>
      <c r="P121" s="40" t="str">
        <f t="shared" si="1"/>
        <v>×</v>
      </c>
      <c r="Q121" s="53" t="s">
        <v>59</v>
      </c>
      <c r="S121" s="33"/>
      <c r="T121" s="41"/>
    </row>
    <row r="122" hidden="1">
      <c r="A122" s="17">
        <f t="shared" si="2"/>
        <v>120</v>
      </c>
      <c r="B122" s="42" t="s">
        <v>201</v>
      </c>
      <c r="C122" s="42" t="s">
        <v>278</v>
      </c>
      <c r="D122" s="36" t="s">
        <v>418</v>
      </c>
      <c r="E122" s="36"/>
      <c r="F122" s="17"/>
      <c r="G122" s="17" t="s">
        <v>2</v>
      </c>
      <c r="H122" s="38"/>
      <c r="I122" s="38"/>
      <c r="J122" s="38" t="s">
        <v>406</v>
      </c>
      <c r="K122" s="38" t="s">
        <v>419</v>
      </c>
      <c r="L122" s="38" t="s">
        <v>420</v>
      </c>
      <c r="M122" s="38" t="s">
        <v>41</v>
      </c>
      <c r="N122" s="17" t="s">
        <v>43</v>
      </c>
      <c r="O122" s="13"/>
      <c r="P122" s="40" t="str">
        <f t="shared" si="1"/>
        <v>〇</v>
      </c>
      <c r="Q122" s="53" t="s">
        <v>45</v>
      </c>
      <c r="S122" s="33"/>
      <c r="T122" s="41"/>
    </row>
    <row r="123" hidden="1">
      <c r="A123" s="17">
        <f t="shared" si="2"/>
        <v>121</v>
      </c>
      <c r="B123" s="42" t="s">
        <v>201</v>
      </c>
      <c r="C123" s="42" t="s">
        <v>278</v>
      </c>
      <c r="D123" s="36" t="s">
        <v>421</v>
      </c>
      <c r="E123" s="36"/>
      <c r="F123" s="17"/>
      <c r="G123" s="17" t="s">
        <v>2</v>
      </c>
      <c r="H123" s="38"/>
      <c r="I123" s="38"/>
      <c r="J123" s="38" t="s">
        <v>66</v>
      </c>
      <c r="K123" s="38" t="s">
        <v>422</v>
      </c>
      <c r="L123" s="38" t="s">
        <v>423</v>
      </c>
      <c r="M123" s="38" t="s">
        <v>41</v>
      </c>
      <c r="N123" s="17" t="s">
        <v>43</v>
      </c>
      <c r="O123" s="13"/>
      <c r="P123" s="40" t="str">
        <f t="shared" si="1"/>
        <v>〇</v>
      </c>
      <c r="Q123" s="53" t="s">
        <v>45</v>
      </c>
      <c r="S123" s="33"/>
      <c r="T123" s="41"/>
    </row>
    <row r="124" hidden="1">
      <c r="A124" s="17">
        <f t="shared" si="2"/>
        <v>122</v>
      </c>
      <c r="B124" s="42" t="s">
        <v>201</v>
      </c>
      <c r="C124" s="42" t="s">
        <v>278</v>
      </c>
      <c r="D124" s="36" t="s">
        <v>424</v>
      </c>
      <c r="E124" s="36"/>
      <c r="F124" s="17"/>
      <c r="G124" s="17" t="s">
        <v>2</v>
      </c>
      <c r="H124" s="38"/>
      <c r="I124" s="38" t="s">
        <v>425</v>
      </c>
      <c r="J124" s="38" t="s">
        <v>426</v>
      </c>
      <c r="K124" s="38" t="s">
        <v>427</v>
      </c>
      <c r="L124" s="38" t="s">
        <v>428</v>
      </c>
      <c r="M124" s="38"/>
      <c r="N124" s="44" t="s">
        <v>23</v>
      </c>
      <c r="O124" s="13"/>
      <c r="P124" s="40" t="str">
        <f t="shared" si="1"/>
        <v>×</v>
      </c>
      <c r="Q124" s="53" t="s">
        <v>59</v>
      </c>
      <c r="S124" s="33" t="s">
        <v>45</v>
      </c>
      <c r="T124" s="41"/>
    </row>
    <row r="125" hidden="1">
      <c r="A125" s="17">
        <f t="shared" si="2"/>
        <v>123</v>
      </c>
      <c r="B125" s="42" t="s">
        <v>201</v>
      </c>
      <c r="C125" s="42" t="s">
        <v>278</v>
      </c>
      <c r="D125" s="36" t="s">
        <v>429</v>
      </c>
      <c r="E125" s="36" t="s">
        <v>430</v>
      </c>
      <c r="F125" s="17"/>
      <c r="G125" s="17" t="s">
        <v>2</v>
      </c>
      <c r="H125" s="38"/>
      <c r="I125" s="38"/>
      <c r="J125" s="38" t="s">
        <v>431</v>
      </c>
      <c r="K125" s="38" t="s">
        <v>432</v>
      </c>
      <c r="L125" s="38" t="s">
        <v>433</v>
      </c>
      <c r="M125" s="38" t="s">
        <v>41</v>
      </c>
      <c r="N125" s="17" t="s">
        <v>43</v>
      </c>
      <c r="O125" s="13"/>
      <c r="P125" s="40" t="str">
        <f t="shared" si="1"/>
        <v>〇</v>
      </c>
      <c r="Q125" s="53" t="s">
        <v>45</v>
      </c>
      <c r="S125" s="33"/>
      <c r="T125" s="41"/>
    </row>
    <row r="126" hidden="1">
      <c r="A126" s="17">
        <f t="shared" si="2"/>
        <v>124</v>
      </c>
      <c r="B126" s="42" t="s">
        <v>201</v>
      </c>
      <c r="C126" s="42" t="s">
        <v>278</v>
      </c>
      <c r="D126" s="45" t="s">
        <v>429</v>
      </c>
      <c r="E126" s="36" t="s">
        <v>434</v>
      </c>
      <c r="F126" s="17" t="s">
        <v>435</v>
      </c>
      <c r="G126" s="17" t="s">
        <v>2</v>
      </c>
      <c r="H126" s="38"/>
      <c r="I126" s="38"/>
      <c r="J126" s="38" t="s">
        <v>436</v>
      </c>
      <c r="K126" s="38" t="s">
        <v>437</v>
      </c>
      <c r="L126" s="38" t="s">
        <v>438</v>
      </c>
      <c r="M126" s="38" t="s">
        <v>41</v>
      </c>
      <c r="N126" s="17" t="s">
        <v>43</v>
      </c>
      <c r="O126" s="13"/>
      <c r="P126" s="40" t="str">
        <f t="shared" si="1"/>
        <v>〇</v>
      </c>
      <c r="Q126" s="53" t="s">
        <v>45</v>
      </c>
      <c r="S126" s="33"/>
      <c r="T126" s="41"/>
    </row>
    <row r="127" hidden="1">
      <c r="A127" s="17">
        <f t="shared" si="2"/>
        <v>125</v>
      </c>
      <c r="B127" s="42" t="s">
        <v>201</v>
      </c>
      <c r="C127" s="42" t="s">
        <v>278</v>
      </c>
      <c r="D127" s="36" t="s">
        <v>360</v>
      </c>
      <c r="E127" s="36" t="s">
        <v>439</v>
      </c>
      <c r="F127" s="17"/>
      <c r="G127" s="17" t="s">
        <v>2</v>
      </c>
      <c r="H127" s="38"/>
      <c r="I127" s="38" t="s">
        <v>440</v>
      </c>
      <c r="J127" s="38" t="s">
        <v>204</v>
      </c>
      <c r="K127" s="38" t="s">
        <v>441</v>
      </c>
      <c r="L127" s="38" t="s">
        <v>442</v>
      </c>
      <c r="M127" s="38"/>
      <c r="N127" s="44" t="s">
        <v>23</v>
      </c>
      <c r="O127" s="13"/>
      <c r="P127" s="40" t="str">
        <f t="shared" si="1"/>
        <v>×</v>
      </c>
      <c r="Q127" s="53" t="s">
        <v>59</v>
      </c>
      <c r="S127" s="41"/>
      <c r="T127" s="50"/>
    </row>
    <row r="128" hidden="1">
      <c r="A128" s="17">
        <f t="shared" si="2"/>
        <v>126</v>
      </c>
      <c r="B128" s="42" t="s">
        <v>201</v>
      </c>
      <c r="C128" s="42" t="s">
        <v>278</v>
      </c>
      <c r="D128" s="45" t="s">
        <v>360</v>
      </c>
      <c r="E128" s="36" t="s">
        <v>443</v>
      </c>
      <c r="F128" s="17"/>
      <c r="G128" s="17" t="s">
        <v>2</v>
      </c>
      <c r="H128" s="38"/>
      <c r="I128" s="38" t="s">
        <v>444</v>
      </c>
      <c r="J128" s="38" t="s">
        <v>204</v>
      </c>
      <c r="K128" s="38" t="s">
        <v>445</v>
      </c>
      <c r="L128" s="38" t="s">
        <v>446</v>
      </c>
      <c r="M128" s="38"/>
      <c r="N128" s="44" t="s">
        <v>23</v>
      </c>
      <c r="O128" s="13"/>
      <c r="P128" s="40" t="str">
        <f t="shared" si="1"/>
        <v>×</v>
      </c>
      <c r="Q128" s="53" t="s">
        <v>59</v>
      </c>
      <c r="S128" s="33"/>
      <c r="T128" s="41"/>
    </row>
    <row r="129" hidden="1">
      <c r="A129" s="17">
        <f t="shared" si="2"/>
        <v>127</v>
      </c>
      <c r="B129" s="42" t="s">
        <v>201</v>
      </c>
      <c r="C129" s="42" t="s">
        <v>278</v>
      </c>
      <c r="D129" s="36" t="s">
        <v>447</v>
      </c>
      <c r="E129" s="36" t="s">
        <v>81</v>
      </c>
      <c r="F129" s="17"/>
      <c r="G129" s="17" t="s">
        <v>2</v>
      </c>
      <c r="H129" s="38"/>
      <c r="I129" s="38"/>
      <c r="J129" s="38" t="s">
        <v>204</v>
      </c>
      <c r="K129" s="38" t="s">
        <v>448</v>
      </c>
      <c r="L129" s="38" t="s">
        <v>449</v>
      </c>
      <c r="M129" s="38" t="s">
        <v>41</v>
      </c>
      <c r="N129" s="17" t="s">
        <v>43</v>
      </c>
      <c r="O129" s="13"/>
      <c r="P129" s="40" t="str">
        <f t="shared" si="1"/>
        <v>〇</v>
      </c>
      <c r="Q129" s="53" t="s">
        <v>45</v>
      </c>
      <c r="S129" s="41"/>
      <c r="T129" s="41"/>
    </row>
    <row r="130" hidden="1">
      <c r="A130" s="17">
        <f t="shared" si="2"/>
        <v>128</v>
      </c>
      <c r="B130" s="42" t="s">
        <v>201</v>
      </c>
      <c r="C130" s="42" t="s">
        <v>278</v>
      </c>
      <c r="D130" s="45" t="s">
        <v>447</v>
      </c>
      <c r="E130" s="36" t="s">
        <v>450</v>
      </c>
      <c r="F130" s="17"/>
      <c r="G130" s="17" t="s">
        <v>7</v>
      </c>
      <c r="H130" s="38"/>
      <c r="I130" s="38" t="s">
        <v>451</v>
      </c>
      <c r="J130" s="38" t="s">
        <v>66</v>
      </c>
      <c r="K130" s="38" t="s">
        <v>452</v>
      </c>
      <c r="L130" s="38" t="s">
        <v>453</v>
      </c>
      <c r="M130" s="38" t="s">
        <v>41</v>
      </c>
      <c r="N130" s="17" t="s">
        <v>43</v>
      </c>
      <c r="O130" s="13"/>
      <c r="P130" s="40" t="str">
        <f t="shared" si="1"/>
        <v>〇</v>
      </c>
      <c r="Q130" s="53" t="s">
        <v>45</v>
      </c>
      <c r="S130" s="41"/>
      <c r="T130" s="41"/>
    </row>
    <row r="131" hidden="1">
      <c r="A131" s="17">
        <f t="shared" si="2"/>
        <v>129</v>
      </c>
      <c r="B131" s="42" t="s">
        <v>201</v>
      </c>
      <c r="C131" s="34" t="s">
        <v>454</v>
      </c>
      <c r="D131" s="36" t="s">
        <v>455</v>
      </c>
      <c r="E131" s="36"/>
      <c r="F131" s="17"/>
      <c r="G131" s="17" t="s">
        <v>2</v>
      </c>
      <c r="H131" s="38"/>
      <c r="I131" s="38" t="s">
        <v>456</v>
      </c>
      <c r="J131" s="38" t="s">
        <v>457</v>
      </c>
      <c r="K131" s="38" t="s">
        <v>458</v>
      </c>
      <c r="L131" s="38" t="s">
        <v>459</v>
      </c>
      <c r="M131" s="38"/>
      <c r="N131" s="44" t="s">
        <v>23</v>
      </c>
      <c r="O131" s="13"/>
      <c r="P131" s="40" t="str">
        <f t="shared" si="1"/>
        <v>×</v>
      </c>
      <c r="Q131" s="53" t="s">
        <v>59</v>
      </c>
      <c r="S131" s="41"/>
      <c r="T131" s="41"/>
    </row>
    <row r="132" hidden="1">
      <c r="A132" s="17">
        <f t="shared" si="2"/>
        <v>130</v>
      </c>
      <c r="B132" s="34" t="s">
        <v>460</v>
      </c>
      <c r="C132" s="34" t="s">
        <v>461</v>
      </c>
      <c r="D132" s="36" t="s">
        <v>462</v>
      </c>
      <c r="E132" s="36"/>
      <c r="F132" s="17"/>
      <c r="G132" s="17" t="s">
        <v>2</v>
      </c>
      <c r="H132" s="38" t="s">
        <v>463</v>
      </c>
      <c r="I132" s="38"/>
      <c r="J132" s="38" t="s">
        <v>235</v>
      </c>
      <c r="K132" s="38" t="s">
        <v>464</v>
      </c>
      <c r="L132" s="38" t="s">
        <v>465</v>
      </c>
      <c r="M132" s="38"/>
      <c r="N132" s="44" t="s">
        <v>23</v>
      </c>
      <c r="O132" s="13"/>
      <c r="P132" s="40" t="str">
        <f t="shared" si="1"/>
        <v>×</v>
      </c>
      <c r="Q132" s="53" t="s">
        <v>59</v>
      </c>
      <c r="S132" s="58"/>
      <c r="T132" s="33"/>
    </row>
    <row r="133" hidden="1">
      <c r="A133" s="17">
        <f t="shared" si="2"/>
        <v>131</v>
      </c>
      <c r="B133" s="42" t="s">
        <v>460</v>
      </c>
      <c r="C133" s="42" t="s">
        <v>461</v>
      </c>
      <c r="D133" s="55" t="s">
        <v>462</v>
      </c>
      <c r="E133" s="36" t="s">
        <v>132</v>
      </c>
      <c r="F133" s="17"/>
      <c r="G133" s="17" t="s">
        <v>2</v>
      </c>
      <c r="H133" s="38" t="s">
        <v>66</v>
      </c>
      <c r="I133" s="38"/>
      <c r="J133" s="38" t="s">
        <v>235</v>
      </c>
      <c r="K133" s="38" t="s">
        <v>466</v>
      </c>
      <c r="L133" s="38" t="s">
        <v>467</v>
      </c>
      <c r="M133" s="38"/>
      <c r="N133" s="44" t="s">
        <v>23</v>
      </c>
      <c r="O133" s="13"/>
      <c r="P133" s="40" t="str">
        <f t="shared" si="1"/>
        <v>×</v>
      </c>
      <c r="Q133" s="53" t="s">
        <v>59</v>
      </c>
      <c r="S133" s="33"/>
      <c r="T133" s="33"/>
    </row>
    <row r="134" hidden="1">
      <c r="A134" s="17">
        <f t="shared" si="2"/>
        <v>132</v>
      </c>
      <c r="B134" s="42" t="s">
        <v>460</v>
      </c>
      <c r="C134" s="42" t="s">
        <v>461</v>
      </c>
      <c r="D134" s="55" t="s">
        <v>462</v>
      </c>
      <c r="E134" s="36" t="s">
        <v>136</v>
      </c>
      <c r="F134" s="17"/>
      <c r="G134" s="17" t="s">
        <v>2</v>
      </c>
      <c r="H134" s="38"/>
      <c r="I134" s="38" t="s">
        <v>468</v>
      </c>
      <c r="J134" s="38" t="s">
        <v>235</v>
      </c>
      <c r="K134" s="38" t="s">
        <v>469</v>
      </c>
      <c r="L134" s="38" t="s">
        <v>103</v>
      </c>
      <c r="M134" s="38"/>
      <c r="N134" s="44" t="s">
        <v>23</v>
      </c>
      <c r="O134" s="13"/>
      <c r="P134" s="40" t="str">
        <f t="shared" si="1"/>
        <v>×</v>
      </c>
      <c r="Q134" s="53" t="s">
        <v>59</v>
      </c>
      <c r="S134" s="33"/>
      <c r="T134" s="33"/>
    </row>
    <row r="135" hidden="1">
      <c r="A135" s="17">
        <f t="shared" si="2"/>
        <v>133</v>
      </c>
      <c r="B135" s="42" t="s">
        <v>460</v>
      </c>
      <c r="C135" s="42" t="s">
        <v>461</v>
      </c>
      <c r="D135" s="55" t="s">
        <v>462</v>
      </c>
      <c r="E135" s="36" t="s">
        <v>139</v>
      </c>
      <c r="F135" s="17"/>
      <c r="G135" s="17" t="s">
        <v>2</v>
      </c>
      <c r="H135" s="38"/>
      <c r="I135" s="38" t="s">
        <v>470</v>
      </c>
      <c r="J135" s="38" t="s">
        <v>235</v>
      </c>
      <c r="K135" s="38" t="s">
        <v>471</v>
      </c>
      <c r="L135" s="38" t="s">
        <v>107</v>
      </c>
      <c r="M135" s="38"/>
      <c r="N135" s="44" t="s">
        <v>23</v>
      </c>
      <c r="O135" s="13"/>
      <c r="P135" s="40" t="str">
        <f t="shared" si="1"/>
        <v>×</v>
      </c>
      <c r="Q135" s="53" t="s">
        <v>59</v>
      </c>
      <c r="S135" s="33"/>
      <c r="T135" s="33"/>
    </row>
    <row r="136" hidden="1">
      <c r="A136" s="17">
        <f t="shared" si="2"/>
        <v>134</v>
      </c>
      <c r="B136" s="42" t="s">
        <v>460</v>
      </c>
      <c r="C136" s="42" t="s">
        <v>461</v>
      </c>
      <c r="D136" s="55" t="s">
        <v>462</v>
      </c>
      <c r="E136" s="36" t="s">
        <v>142</v>
      </c>
      <c r="F136" s="17"/>
      <c r="G136" s="17" t="s">
        <v>2</v>
      </c>
      <c r="H136" s="38"/>
      <c r="I136" s="38" t="s">
        <v>472</v>
      </c>
      <c r="J136" s="38" t="s">
        <v>235</v>
      </c>
      <c r="K136" s="38" t="s">
        <v>473</v>
      </c>
      <c r="L136" s="38" t="s">
        <v>145</v>
      </c>
      <c r="M136" s="38"/>
      <c r="N136" s="44" t="s">
        <v>23</v>
      </c>
      <c r="O136" s="13"/>
      <c r="P136" s="40" t="str">
        <f t="shared" si="1"/>
        <v>×</v>
      </c>
      <c r="Q136" s="53" t="s">
        <v>59</v>
      </c>
      <c r="S136" s="33"/>
      <c r="T136" s="33"/>
    </row>
    <row r="137" hidden="1">
      <c r="A137" s="17">
        <f t="shared" si="2"/>
        <v>135</v>
      </c>
      <c r="B137" s="42" t="s">
        <v>460</v>
      </c>
      <c r="C137" s="42" t="s">
        <v>461</v>
      </c>
      <c r="D137" s="55" t="s">
        <v>462</v>
      </c>
      <c r="E137" s="36" t="s">
        <v>474</v>
      </c>
      <c r="F137" s="17"/>
      <c r="G137" s="17" t="s">
        <v>2</v>
      </c>
      <c r="H137" s="38"/>
      <c r="I137" s="38"/>
      <c r="J137" s="38" t="s">
        <v>235</v>
      </c>
      <c r="K137" s="38" t="s">
        <v>475</v>
      </c>
      <c r="L137" s="38" t="s">
        <v>476</v>
      </c>
      <c r="M137" s="38"/>
      <c r="N137" s="44" t="s">
        <v>23</v>
      </c>
      <c r="O137" s="13"/>
      <c r="P137" s="40" t="str">
        <f t="shared" si="1"/>
        <v>×</v>
      </c>
      <c r="Q137" s="53" t="s">
        <v>59</v>
      </c>
      <c r="S137" s="41"/>
      <c r="T137" s="33"/>
    </row>
    <row r="138" hidden="1">
      <c r="A138" s="17">
        <f t="shared" si="2"/>
        <v>136</v>
      </c>
      <c r="B138" s="42" t="s">
        <v>460</v>
      </c>
      <c r="C138" s="36" t="s">
        <v>477</v>
      </c>
      <c r="D138" s="36"/>
      <c r="E138" s="36"/>
      <c r="F138" s="17"/>
      <c r="G138" s="17" t="s">
        <v>2</v>
      </c>
      <c r="H138" s="38" t="s">
        <v>463</v>
      </c>
      <c r="I138" s="38"/>
      <c r="J138" s="38" t="s">
        <v>235</v>
      </c>
      <c r="K138" s="38" t="s">
        <v>478</v>
      </c>
      <c r="L138" s="38" t="s">
        <v>479</v>
      </c>
      <c r="M138" s="38"/>
      <c r="N138" s="44" t="s">
        <v>23</v>
      </c>
      <c r="O138" s="13"/>
      <c r="P138" s="40" t="str">
        <f t="shared" si="1"/>
        <v>×</v>
      </c>
      <c r="Q138" s="53" t="s">
        <v>59</v>
      </c>
      <c r="S138" s="41"/>
      <c r="T138" s="33"/>
    </row>
    <row r="139" hidden="1">
      <c r="A139" s="17">
        <f t="shared" si="2"/>
        <v>137</v>
      </c>
      <c r="B139" s="42" t="s">
        <v>460</v>
      </c>
      <c r="C139" s="36" t="s">
        <v>480</v>
      </c>
      <c r="D139" s="36"/>
      <c r="E139" s="36"/>
      <c r="F139" s="17"/>
      <c r="G139" s="17" t="s">
        <v>7</v>
      </c>
      <c r="H139" s="38"/>
      <c r="I139" s="38" t="s">
        <v>481</v>
      </c>
      <c r="J139" s="38" t="s">
        <v>482</v>
      </c>
      <c r="K139" s="38" t="s">
        <v>483</v>
      </c>
      <c r="L139" s="38" t="s">
        <v>484</v>
      </c>
      <c r="M139" s="38"/>
      <c r="N139" s="44" t="s">
        <v>23</v>
      </c>
      <c r="O139" s="48"/>
      <c r="P139" s="40" t="str">
        <f t="shared" si="1"/>
        <v>×</v>
      </c>
      <c r="Q139" s="33" t="s">
        <v>59</v>
      </c>
      <c r="S139" s="33"/>
      <c r="T139" s="33"/>
    </row>
    <row r="140" hidden="1">
      <c r="A140" s="17">
        <f t="shared" si="2"/>
        <v>138</v>
      </c>
      <c r="B140" s="42" t="s">
        <v>460</v>
      </c>
      <c r="C140" s="36" t="s">
        <v>485</v>
      </c>
      <c r="D140" s="36"/>
      <c r="E140" s="36"/>
      <c r="F140" s="17"/>
      <c r="G140" s="17" t="s">
        <v>7</v>
      </c>
      <c r="H140" s="38"/>
      <c r="I140" s="38"/>
      <c r="J140" s="38" t="s">
        <v>235</v>
      </c>
      <c r="K140" s="38" t="s">
        <v>486</v>
      </c>
      <c r="L140" s="38" t="s">
        <v>231</v>
      </c>
      <c r="M140" s="38"/>
      <c r="N140" s="44" t="s">
        <v>23</v>
      </c>
      <c r="O140" s="39"/>
      <c r="P140" s="40" t="str">
        <f t="shared" si="1"/>
        <v>×</v>
      </c>
      <c r="Q140" s="33" t="s">
        <v>59</v>
      </c>
      <c r="S140" s="33"/>
      <c r="T140" s="33"/>
    </row>
    <row r="141" hidden="1">
      <c r="A141" s="17">
        <f t="shared" si="2"/>
        <v>139</v>
      </c>
      <c r="B141" s="42" t="s">
        <v>460</v>
      </c>
      <c r="C141" s="34" t="s">
        <v>487</v>
      </c>
      <c r="D141" s="36" t="s">
        <v>488</v>
      </c>
      <c r="E141" s="36"/>
      <c r="F141" s="17"/>
      <c r="G141" s="17" t="s">
        <v>2</v>
      </c>
      <c r="H141" s="38" t="s">
        <v>489</v>
      </c>
      <c r="I141" s="38"/>
      <c r="J141" s="38" t="s">
        <v>490</v>
      </c>
      <c r="K141" s="38" t="s">
        <v>491</v>
      </c>
      <c r="L141" s="38" t="s">
        <v>492</v>
      </c>
      <c r="M141" s="38"/>
      <c r="N141" s="44" t="s">
        <v>23</v>
      </c>
      <c r="O141" s="13"/>
      <c r="P141" s="40" t="str">
        <f t="shared" si="1"/>
        <v>×</v>
      </c>
      <c r="Q141" s="33" t="s">
        <v>59</v>
      </c>
      <c r="S141" s="41"/>
      <c r="T141" s="50"/>
    </row>
    <row r="142" hidden="1">
      <c r="A142" s="17">
        <f t="shared" si="2"/>
        <v>140</v>
      </c>
      <c r="B142" s="42" t="s">
        <v>460</v>
      </c>
      <c r="C142" s="42" t="s">
        <v>487</v>
      </c>
      <c r="D142" s="36" t="s">
        <v>493</v>
      </c>
      <c r="E142" s="36"/>
      <c r="F142" s="17"/>
      <c r="G142" s="17" t="s">
        <v>2</v>
      </c>
      <c r="H142" s="38" t="s">
        <v>489</v>
      </c>
      <c r="I142" s="38"/>
      <c r="J142" s="17" t="s">
        <v>66</v>
      </c>
      <c r="K142" s="38" t="s">
        <v>494</v>
      </c>
      <c r="L142" s="38" t="s">
        <v>495</v>
      </c>
      <c r="M142" s="38"/>
      <c r="N142" s="44" t="s">
        <v>23</v>
      </c>
      <c r="O142" s="13"/>
      <c r="P142" s="40" t="str">
        <f t="shared" si="1"/>
        <v>×</v>
      </c>
      <c r="Q142" s="33" t="s">
        <v>59</v>
      </c>
      <c r="S142" s="41"/>
      <c r="T142" s="50"/>
    </row>
    <row r="143" hidden="1">
      <c r="A143" s="17">
        <f t="shared" si="2"/>
        <v>141</v>
      </c>
      <c r="B143" s="42" t="s">
        <v>460</v>
      </c>
      <c r="C143" s="42" t="s">
        <v>487</v>
      </c>
      <c r="D143" s="36" t="s">
        <v>496</v>
      </c>
      <c r="E143" s="36"/>
      <c r="F143" s="17"/>
      <c r="G143" s="17" t="s">
        <v>7</v>
      </c>
      <c r="H143" s="38"/>
      <c r="I143" s="38"/>
      <c r="J143" s="17" t="s">
        <v>66</v>
      </c>
      <c r="K143" s="38" t="s">
        <v>497</v>
      </c>
      <c r="L143" s="38" t="s">
        <v>498</v>
      </c>
      <c r="M143" s="38"/>
      <c r="N143" s="44" t="s">
        <v>23</v>
      </c>
      <c r="O143" s="13"/>
      <c r="P143" s="40" t="str">
        <f t="shared" si="1"/>
        <v>×</v>
      </c>
      <c r="Q143" s="33" t="s">
        <v>59</v>
      </c>
      <c r="S143" s="41"/>
      <c r="T143" s="50"/>
    </row>
    <row r="144" hidden="1">
      <c r="A144" s="17">
        <f t="shared" si="2"/>
        <v>142</v>
      </c>
      <c r="B144" s="42" t="s">
        <v>460</v>
      </c>
      <c r="C144" s="42" t="s">
        <v>487</v>
      </c>
      <c r="D144" s="36" t="s">
        <v>499</v>
      </c>
      <c r="E144" s="36"/>
      <c r="F144" s="17"/>
      <c r="G144" s="17" t="s">
        <v>2</v>
      </c>
      <c r="H144" s="38"/>
      <c r="I144" s="38"/>
      <c r="J144" s="38" t="s">
        <v>490</v>
      </c>
      <c r="K144" s="38" t="s">
        <v>500</v>
      </c>
      <c r="L144" s="38" t="s">
        <v>501</v>
      </c>
      <c r="M144" s="38"/>
      <c r="N144" s="44" t="s">
        <v>23</v>
      </c>
      <c r="O144" s="13" t="s">
        <v>502</v>
      </c>
      <c r="P144" s="40" t="str">
        <f t="shared" si="1"/>
        <v>×</v>
      </c>
      <c r="Q144" s="33" t="s">
        <v>59</v>
      </c>
      <c r="S144" s="41"/>
      <c r="T144" s="50"/>
    </row>
    <row r="145" hidden="1">
      <c r="A145" s="17">
        <f t="shared" si="2"/>
        <v>143</v>
      </c>
      <c r="B145" s="42" t="s">
        <v>460</v>
      </c>
      <c r="C145" s="34" t="s">
        <v>503</v>
      </c>
      <c r="D145" s="36" t="s">
        <v>504</v>
      </c>
      <c r="E145" s="36" t="s">
        <v>92</v>
      </c>
      <c r="F145" s="17"/>
      <c r="G145" s="17" t="s">
        <v>2</v>
      </c>
      <c r="H145" s="38"/>
      <c r="I145" s="38" t="s">
        <v>505</v>
      </c>
      <c r="J145" s="38" t="s">
        <v>235</v>
      </c>
      <c r="K145" s="38" t="s">
        <v>506</v>
      </c>
      <c r="L145" s="38" t="s">
        <v>507</v>
      </c>
      <c r="M145" s="38"/>
      <c r="N145" s="44" t="s">
        <v>23</v>
      </c>
      <c r="O145" s="13"/>
      <c r="P145" s="40" t="str">
        <f t="shared" si="1"/>
        <v>×</v>
      </c>
      <c r="Q145" s="33" t="s">
        <v>59</v>
      </c>
      <c r="S145" s="41"/>
      <c r="T145" s="50"/>
    </row>
    <row r="146" hidden="1">
      <c r="A146" s="17">
        <f t="shared" si="2"/>
        <v>144</v>
      </c>
      <c r="B146" s="42" t="s">
        <v>460</v>
      </c>
      <c r="C146" s="47" t="s">
        <v>503</v>
      </c>
      <c r="D146" s="45" t="s">
        <v>504</v>
      </c>
      <c r="E146" s="36" t="s">
        <v>508</v>
      </c>
      <c r="F146" s="17"/>
      <c r="G146" s="17" t="s">
        <v>2</v>
      </c>
      <c r="H146" s="38"/>
      <c r="I146" s="38" t="s">
        <v>509</v>
      </c>
      <c r="J146" s="38" t="s">
        <v>235</v>
      </c>
      <c r="K146" s="38" t="s">
        <v>510</v>
      </c>
      <c r="L146" s="38" t="s">
        <v>511</v>
      </c>
      <c r="M146" s="38"/>
      <c r="N146" s="44" t="s">
        <v>23</v>
      </c>
      <c r="O146" s="13"/>
      <c r="P146" s="40" t="str">
        <f t="shared" si="1"/>
        <v>×</v>
      </c>
      <c r="Q146" s="33" t="s">
        <v>59</v>
      </c>
      <c r="S146" s="41"/>
      <c r="T146" s="50"/>
    </row>
    <row r="147" hidden="1">
      <c r="A147" s="17">
        <f t="shared" si="2"/>
        <v>145</v>
      </c>
      <c r="B147" s="42" t="s">
        <v>460</v>
      </c>
      <c r="C147" s="42" t="s">
        <v>503</v>
      </c>
      <c r="D147" s="36" t="s">
        <v>512</v>
      </c>
      <c r="E147" s="36"/>
      <c r="F147" s="17"/>
      <c r="G147" s="17" t="s">
        <v>2</v>
      </c>
      <c r="H147" s="56"/>
      <c r="I147" s="38"/>
      <c r="J147" s="17" t="s">
        <v>66</v>
      </c>
      <c r="K147" s="38" t="s">
        <v>513</v>
      </c>
      <c r="L147" s="38" t="s">
        <v>514</v>
      </c>
      <c r="M147" s="38"/>
      <c r="N147" s="44" t="s">
        <v>23</v>
      </c>
      <c r="O147" s="13"/>
      <c r="P147" s="40" t="str">
        <f t="shared" si="1"/>
        <v>×</v>
      </c>
      <c r="Q147" s="33" t="s">
        <v>59</v>
      </c>
      <c r="S147" s="33"/>
      <c r="T147" s="33"/>
    </row>
    <row r="148" hidden="1">
      <c r="A148" s="17">
        <f t="shared" si="2"/>
        <v>146</v>
      </c>
      <c r="B148" s="42" t="s">
        <v>460</v>
      </c>
      <c r="C148" s="36" t="s">
        <v>515</v>
      </c>
      <c r="D148" s="36"/>
      <c r="E148" s="36"/>
      <c r="F148" s="17"/>
      <c r="G148" s="17" t="s">
        <v>2</v>
      </c>
      <c r="H148" s="38"/>
      <c r="I148" s="38" t="s">
        <v>516</v>
      </c>
      <c r="J148" s="38" t="s">
        <v>204</v>
      </c>
      <c r="K148" s="38" t="s">
        <v>517</v>
      </c>
      <c r="L148" s="38" t="s">
        <v>518</v>
      </c>
      <c r="M148" s="38"/>
      <c r="N148" s="44" t="s">
        <v>23</v>
      </c>
      <c r="O148" s="13"/>
      <c r="P148" s="40" t="str">
        <f t="shared" si="1"/>
        <v>×</v>
      </c>
      <c r="Q148" s="33" t="s">
        <v>59</v>
      </c>
      <c r="S148" s="33"/>
      <c r="T148" s="41"/>
    </row>
    <row r="149" hidden="1">
      <c r="A149" s="17">
        <f t="shared" si="2"/>
        <v>147</v>
      </c>
      <c r="B149" s="42" t="s">
        <v>460</v>
      </c>
      <c r="C149" s="34" t="s">
        <v>519</v>
      </c>
      <c r="D149" s="36"/>
      <c r="E149" s="36"/>
      <c r="F149" s="17"/>
      <c r="G149" s="17" t="s">
        <v>2</v>
      </c>
      <c r="H149" s="38" t="s">
        <v>463</v>
      </c>
      <c r="I149" s="38"/>
      <c r="J149" s="38" t="s">
        <v>235</v>
      </c>
      <c r="K149" s="38" t="s">
        <v>520</v>
      </c>
      <c r="L149" s="38" t="s">
        <v>521</v>
      </c>
      <c r="M149" s="38"/>
      <c r="N149" s="44" t="s">
        <v>23</v>
      </c>
      <c r="O149" s="59"/>
      <c r="P149" s="40" t="str">
        <f t="shared" si="1"/>
        <v>×</v>
      </c>
      <c r="Q149" s="33" t="s">
        <v>59</v>
      </c>
      <c r="S149" s="41"/>
      <c r="T149" s="33"/>
    </row>
    <row r="150" hidden="1">
      <c r="A150" s="17">
        <f t="shared" si="2"/>
        <v>148</v>
      </c>
      <c r="B150" s="34" t="s">
        <v>522</v>
      </c>
      <c r="C150" s="34" t="s">
        <v>523</v>
      </c>
      <c r="D150" s="36"/>
      <c r="E150" s="36"/>
      <c r="F150" s="17"/>
      <c r="G150" s="17" t="s">
        <v>2</v>
      </c>
      <c r="H150" s="38"/>
      <c r="I150" s="38"/>
      <c r="J150" s="38" t="s">
        <v>524</v>
      </c>
      <c r="K150" s="38" t="s">
        <v>525</v>
      </c>
      <c r="L150" s="38" t="s">
        <v>526</v>
      </c>
      <c r="M150" s="38"/>
      <c r="N150" s="44" t="s">
        <v>23</v>
      </c>
      <c r="O150" s="13"/>
      <c r="P150" s="40" t="str">
        <f t="shared" si="1"/>
        <v>×</v>
      </c>
      <c r="Q150" s="33" t="s">
        <v>59</v>
      </c>
      <c r="S150" s="33"/>
      <c r="T150" s="33"/>
    </row>
    <row r="151" hidden="1">
      <c r="A151" s="17">
        <f t="shared" si="2"/>
        <v>149</v>
      </c>
      <c r="B151" s="42" t="s">
        <v>527</v>
      </c>
      <c r="C151" s="34" t="s">
        <v>528</v>
      </c>
      <c r="D151" s="36"/>
      <c r="E151" s="36"/>
      <c r="F151" s="17"/>
      <c r="G151" s="17" t="s">
        <v>2</v>
      </c>
      <c r="H151" s="38"/>
      <c r="I151" s="38"/>
      <c r="J151" s="38" t="s">
        <v>529</v>
      </c>
      <c r="K151" s="38" t="s">
        <v>530</v>
      </c>
      <c r="L151" s="38" t="s">
        <v>531</v>
      </c>
      <c r="M151" s="38"/>
      <c r="N151" s="44" t="s">
        <v>23</v>
      </c>
      <c r="O151" s="13"/>
      <c r="P151" s="40" t="str">
        <f t="shared" si="1"/>
        <v>×</v>
      </c>
      <c r="Q151" s="33" t="s">
        <v>59</v>
      </c>
      <c r="S151" s="33"/>
      <c r="T151" s="33"/>
    </row>
    <row r="152" hidden="1">
      <c r="A152" s="17">
        <f t="shared" si="2"/>
        <v>150</v>
      </c>
      <c r="B152" s="42" t="s">
        <v>527</v>
      </c>
      <c r="C152" s="34" t="s">
        <v>532</v>
      </c>
      <c r="D152" s="36" t="s">
        <v>533</v>
      </c>
      <c r="E152" s="36"/>
      <c r="F152" s="17"/>
      <c r="G152" s="17" t="s">
        <v>2</v>
      </c>
      <c r="H152" s="38"/>
      <c r="I152" s="38"/>
      <c r="J152" s="38" t="s">
        <v>66</v>
      </c>
      <c r="K152" s="38" t="s">
        <v>534</v>
      </c>
      <c r="L152" s="38" t="s">
        <v>535</v>
      </c>
      <c r="M152" s="38"/>
      <c r="N152" s="44" t="s">
        <v>23</v>
      </c>
      <c r="O152" s="13"/>
      <c r="P152" s="40" t="str">
        <f t="shared" si="1"/>
        <v>×</v>
      </c>
      <c r="Q152" s="33" t="s">
        <v>59</v>
      </c>
      <c r="S152" s="33"/>
      <c r="T152" s="33"/>
    </row>
    <row r="153" hidden="1">
      <c r="A153" s="17">
        <f t="shared" si="2"/>
        <v>151</v>
      </c>
      <c r="B153" s="42" t="s">
        <v>527</v>
      </c>
      <c r="C153" s="34" t="s">
        <v>536</v>
      </c>
      <c r="D153" s="36"/>
      <c r="E153" s="36"/>
      <c r="F153" s="17"/>
      <c r="G153" s="17" t="s">
        <v>2</v>
      </c>
      <c r="H153" s="38"/>
      <c r="I153" s="38" t="s">
        <v>537</v>
      </c>
      <c r="J153" s="38" t="s">
        <v>66</v>
      </c>
      <c r="K153" s="38" t="s">
        <v>538</v>
      </c>
      <c r="L153" s="38" t="s">
        <v>539</v>
      </c>
      <c r="M153" s="38"/>
      <c r="N153" s="44" t="s">
        <v>23</v>
      </c>
      <c r="O153" s="13"/>
      <c r="P153" s="40" t="str">
        <f t="shared" si="1"/>
        <v>×</v>
      </c>
      <c r="Q153" s="33" t="s">
        <v>59</v>
      </c>
      <c r="S153" s="33"/>
      <c r="T153" s="33"/>
    </row>
    <row r="154" hidden="1">
      <c r="A154" s="17">
        <f t="shared" si="2"/>
        <v>152</v>
      </c>
      <c r="B154" s="42" t="s">
        <v>527</v>
      </c>
      <c r="C154" s="34" t="s">
        <v>187</v>
      </c>
      <c r="D154" s="36"/>
      <c r="E154" s="36"/>
      <c r="F154" s="17"/>
      <c r="G154" s="17" t="s">
        <v>2</v>
      </c>
      <c r="H154" s="38"/>
      <c r="I154" s="38"/>
      <c r="J154" s="38" t="s">
        <v>529</v>
      </c>
      <c r="K154" s="38" t="s">
        <v>540</v>
      </c>
      <c r="L154" s="38" t="s">
        <v>541</v>
      </c>
      <c r="M154" s="38"/>
      <c r="N154" s="44" t="s">
        <v>23</v>
      </c>
      <c r="O154" s="13"/>
      <c r="P154" s="40" t="str">
        <f t="shared" si="1"/>
        <v>×</v>
      </c>
      <c r="Q154" s="33" t="s">
        <v>59</v>
      </c>
      <c r="S154" s="33"/>
      <c r="T154" s="33"/>
    </row>
    <row r="155" hidden="1">
      <c r="A155" s="17">
        <f t="shared" si="2"/>
        <v>153</v>
      </c>
      <c r="B155" s="34" t="s">
        <v>542</v>
      </c>
      <c r="C155" s="34" t="s">
        <v>543</v>
      </c>
      <c r="D155" s="36"/>
      <c r="E155" s="36"/>
      <c r="F155" s="17"/>
      <c r="G155" s="17" t="s">
        <v>2</v>
      </c>
      <c r="H155" s="38"/>
      <c r="I155" s="38"/>
      <c r="J155" s="38" t="s">
        <v>544</v>
      </c>
      <c r="K155" s="38" t="s">
        <v>545</v>
      </c>
      <c r="L155" s="38" t="s">
        <v>546</v>
      </c>
      <c r="M155" s="38"/>
      <c r="N155" s="44" t="s">
        <v>23</v>
      </c>
      <c r="O155" s="13"/>
      <c r="P155" s="40" t="str">
        <f t="shared" si="1"/>
        <v>×</v>
      </c>
      <c r="Q155" s="33" t="s">
        <v>59</v>
      </c>
      <c r="S155" s="33"/>
      <c r="T155" s="33"/>
    </row>
    <row r="156" hidden="1">
      <c r="A156" s="17">
        <f t="shared" si="2"/>
        <v>154</v>
      </c>
      <c r="B156" s="42" t="s">
        <v>542</v>
      </c>
      <c r="C156" s="34" t="s">
        <v>547</v>
      </c>
      <c r="D156" s="36" t="s">
        <v>462</v>
      </c>
      <c r="E156" s="36"/>
      <c r="F156" s="17"/>
      <c r="G156" s="17" t="s">
        <v>2</v>
      </c>
      <c r="H156" s="38"/>
      <c r="I156" s="38"/>
      <c r="J156" s="38" t="s">
        <v>548</v>
      </c>
      <c r="K156" s="38" t="s">
        <v>549</v>
      </c>
      <c r="L156" s="38" t="s">
        <v>465</v>
      </c>
      <c r="M156" s="38"/>
      <c r="N156" s="44" t="s">
        <v>23</v>
      </c>
      <c r="O156" s="13"/>
      <c r="P156" s="40" t="str">
        <f t="shared" si="1"/>
        <v>×</v>
      </c>
      <c r="Q156" s="33" t="s">
        <v>59</v>
      </c>
      <c r="S156" s="33"/>
      <c r="T156" s="33"/>
    </row>
    <row r="157" hidden="1">
      <c r="A157" s="17">
        <f t="shared" si="2"/>
        <v>155</v>
      </c>
      <c r="B157" s="42" t="s">
        <v>542</v>
      </c>
      <c r="C157" s="42" t="s">
        <v>547</v>
      </c>
      <c r="D157" s="36" t="s">
        <v>132</v>
      </c>
      <c r="E157" s="36"/>
      <c r="F157" s="17"/>
      <c r="G157" s="17" t="s">
        <v>2</v>
      </c>
      <c r="H157" s="38" t="s">
        <v>66</v>
      </c>
      <c r="I157" s="38"/>
      <c r="J157" s="38" t="s">
        <v>548</v>
      </c>
      <c r="K157" s="38" t="s">
        <v>466</v>
      </c>
      <c r="L157" s="38" t="s">
        <v>467</v>
      </c>
      <c r="M157" s="38"/>
      <c r="N157" s="44" t="s">
        <v>23</v>
      </c>
      <c r="O157" s="13"/>
      <c r="P157" s="40" t="str">
        <f t="shared" si="1"/>
        <v>×</v>
      </c>
      <c r="Q157" s="33" t="s">
        <v>59</v>
      </c>
      <c r="S157" s="33"/>
      <c r="T157" s="33"/>
    </row>
    <row r="158" hidden="1">
      <c r="A158" s="17">
        <f t="shared" si="2"/>
        <v>156</v>
      </c>
      <c r="B158" s="42" t="s">
        <v>542</v>
      </c>
      <c r="C158" s="42" t="s">
        <v>547</v>
      </c>
      <c r="D158" s="55" t="s">
        <v>462</v>
      </c>
      <c r="E158" s="36" t="s">
        <v>136</v>
      </c>
      <c r="F158" s="17"/>
      <c r="G158" s="17" t="s">
        <v>2</v>
      </c>
      <c r="H158" s="38"/>
      <c r="I158" s="38" t="s">
        <v>550</v>
      </c>
      <c r="J158" s="38" t="s">
        <v>548</v>
      </c>
      <c r="K158" s="38" t="s">
        <v>469</v>
      </c>
      <c r="L158" s="38" t="s">
        <v>103</v>
      </c>
      <c r="M158" s="38"/>
      <c r="N158" s="44" t="s">
        <v>23</v>
      </c>
      <c r="O158" s="13"/>
      <c r="P158" s="40" t="str">
        <f t="shared" si="1"/>
        <v>×</v>
      </c>
      <c r="Q158" s="33" t="s">
        <v>59</v>
      </c>
      <c r="S158" s="33"/>
      <c r="T158" s="33"/>
    </row>
    <row r="159" hidden="1">
      <c r="A159" s="17">
        <f t="shared" si="2"/>
        <v>157</v>
      </c>
      <c r="B159" s="42" t="s">
        <v>542</v>
      </c>
      <c r="C159" s="42" t="s">
        <v>547</v>
      </c>
      <c r="D159" s="55" t="s">
        <v>462</v>
      </c>
      <c r="E159" s="36" t="s">
        <v>139</v>
      </c>
      <c r="F159" s="17"/>
      <c r="G159" s="17" t="s">
        <v>2</v>
      </c>
      <c r="H159" s="38"/>
      <c r="I159" s="38" t="s">
        <v>551</v>
      </c>
      <c r="J159" s="38" t="s">
        <v>548</v>
      </c>
      <c r="K159" s="38" t="s">
        <v>471</v>
      </c>
      <c r="L159" s="38" t="s">
        <v>107</v>
      </c>
      <c r="M159" s="38"/>
      <c r="N159" s="44" t="s">
        <v>23</v>
      </c>
      <c r="O159" s="13"/>
      <c r="P159" s="40" t="str">
        <f t="shared" si="1"/>
        <v>×</v>
      </c>
      <c r="Q159" s="33" t="s">
        <v>59</v>
      </c>
      <c r="S159" s="33"/>
      <c r="T159" s="33"/>
    </row>
    <row r="160" hidden="1">
      <c r="A160" s="17">
        <f t="shared" si="2"/>
        <v>158</v>
      </c>
      <c r="B160" s="42" t="s">
        <v>542</v>
      </c>
      <c r="C160" s="42" t="s">
        <v>547</v>
      </c>
      <c r="D160" s="55" t="s">
        <v>462</v>
      </c>
      <c r="E160" s="36" t="s">
        <v>142</v>
      </c>
      <c r="F160" s="17"/>
      <c r="G160" s="17" t="s">
        <v>2</v>
      </c>
      <c r="H160" s="38"/>
      <c r="I160" s="38" t="s">
        <v>552</v>
      </c>
      <c r="J160" s="38" t="s">
        <v>548</v>
      </c>
      <c r="K160" s="38" t="s">
        <v>473</v>
      </c>
      <c r="L160" s="38" t="s">
        <v>145</v>
      </c>
      <c r="M160" s="38"/>
      <c r="N160" s="44" t="s">
        <v>23</v>
      </c>
      <c r="O160" s="13"/>
      <c r="P160" s="40" t="str">
        <f t="shared" si="1"/>
        <v>×</v>
      </c>
      <c r="Q160" s="33" t="s">
        <v>59</v>
      </c>
      <c r="S160" s="33"/>
      <c r="T160" s="33"/>
    </row>
    <row r="161" hidden="1">
      <c r="A161" s="17">
        <f t="shared" si="2"/>
        <v>159</v>
      </c>
      <c r="B161" s="42" t="s">
        <v>542</v>
      </c>
      <c r="C161" s="42" t="s">
        <v>547</v>
      </c>
      <c r="D161" s="55" t="s">
        <v>462</v>
      </c>
      <c r="E161" s="36" t="s">
        <v>474</v>
      </c>
      <c r="F161" s="17"/>
      <c r="G161" s="17" t="s">
        <v>2</v>
      </c>
      <c r="H161" s="38"/>
      <c r="I161" s="38"/>
      <c r="J161" s="38" t="s">
        <v>548</v>
      </c>
      <c r="K161" s="38" t="s">
        <v>475</v>
      </c>
      <c r="L161" s="38" t="s">
        <v>476</v>
      </c>
      <c r="M161" s="38"/>
      <c r="N161" s="44" t="s">
        <v>23</v>
      </c>
      <c r="O161" s="13"/>
      <c r="P161" s="40" t="str">
        <f t="shared" si="1"/>
        <v>×</v>
      </c>
      <c r="Q161" s="33" t="s">
        <v>59</v>
      </c>
      <c r="S161" s="33"/>
      <c r="T161" s="33"/>
    </row>
    <row r="162" hidden="1">
      <c r="A162" s="17">
        <f t="shared" si="2"/>
        <v>160</v>
      </c>
      <c r="B162" s="42" t="s">
        <v>542</v>
      </c>
      <c r="C162" s="42" t="s">
        <v>547</v>
      </c>
      <c r="D162" s="55" t="s">
        <v>462</v>
      </c>
      <c r="E162" s="36" t="s">
        <v>553</v>
      </c>
      <c r="F162" s="17"/>
      <c r="G162" s="17" t="s">
        <v>2</v>
      </c>
      <c r="H162" s="38"/>
      <c r="I162" s="38"/>
      <c r="J162" s="38" t="s">
        <v>548</v>
      </c>
      <c r="K162" s="38" t="s">
        <v>554</v>
      </c>
      <c r="L162" s="38" t="s">
        <v>555</v>
      </c>
      <c r="M162" s="38"/>
      <c r="N162" s="44" t="s">
        <v>23</v>
      </c>
      <c r="O162" s="13"/>
      <c r="P162" s="40" t="str">
        <f t="shared" si="1"/>
        <v>×</v>
      </c>
      <c r="Q162" s="33" t="s">
        <v>59</v>
      </c>
      <c r="S162" s="33"/>
      <c r="T162" s="33"/>
    </row>
    <row r="163" hidden="1">
      <c r="A163" s="17">
        <f t="shared" si="2"/>
        <v>161</v>
      </c>
      <c r="B163" s="42" t="s">
        <v>542</v>
      </c>
      <c r="C163" s="34" t="s">
        <v>556</v>
      </c>
      <c r="D163" s="36"/>
      <c r="E163" s="36"/>
      <c r="F163" s="17"/>
      <c r="G163" s="17" t="s">
        <v>2</v>
      </c>
      <c r="H163" s="38"/>
      <c r="I163" s="38"/>
      <c r="J163" s="38" t="s">
        <v>548</v>
      </c>
      <c r="K163" s="38" t="s">
        <v>478</v>
      </c>
      <c r="L163" s="38" t="s">
        <v>479</v>
      </c>
      <c r="M163" s="38"/>
      <c r="N163" s="44" t="s">
        <v>23</v>
      </c>
      <c r="O163" s="13"/>
      <c r="P163" s="40" t="str">
        <f t="shared" si="1"/>
        <v>×</v>
      </c>
      <c r="Q163" s="33" t="s">
        <v>59</v>
      </c>
      <c r="S163" s="33"/>
      <c r="T163" s="33"/>
    </row>
    <row r="164" hidden="1">
      <c r="A164" s="17">
        <f t="shared" si="2"/>
        <v>162</v>
      </c>
      <c r="B164" s="42" t="s">
        <v>542</v>
      </c>
      <c r="C164" s="34" t="s">
        <v>557</v>
      </c>
      <c r="D164" s="36"/>
      <c r="E164" s="36"/>
      <c r="F164" s="17"/>
      <c r="G164" s="17" t="s">
        <v>7</v>
      </c>
      <c r="H164" s="38"/>
      <c r="I164" s="38"/>
      <c r="J164" s="38" t="s">
        <v>548</v>
      </c>
      <c r="K164" s="38" t="s">
        <v>486</v>
      </c>
      <c r="L164" s="38" t="s">
        <v>558</v>
      </c>
      <c r="M164" s="38"/>
      <c r="N164" s="44" t="s">
        <v>23</v>
      </c>
      <c r="O164" s="39"/>
      <c r="P164" s="40" t="str">
        <f t="shared" si="1"/>
        <v>×</v>
      </c>
      <c r="Q164" s="33" t="s">
        <v>59</v>
      </c>
      <c r="S164" s="33"/>
      <c r="T164" s="33"/>
    </row>
    <row r="165" hidden="1">
      <c r="A165" s="17">
        <f t="shared" si="2"/>
        <v>163</v>
      </c>
      <c r="B165" s="42" t="s">
        <v>542</v>
      </c>
      <c r="C165" s="36" t="s">
        <v>559</v>
      </c>
      <c r="D165" s="36"/>
      <c r="E165" s="36"/>
      <c r="F165" s="17"/>
      <c r="G165" s="17" t="s">
        <v>8</v>
      </c>
      <c r="H165" s="38"/>
      <c r="I165" s="38"/>
      <c r="J165" s="38" t="s">
        <v>548</v>
      </c>
      <c r="K165" s="38" t="s">
        <v>560</v>
      </c>
      <c r="L165" s="38" t="s">
        <v>561</v>
      </c>
      <c r="M165" s="38"/>
      <c r="N165" s="44" t="s">
        <v>23</v>
      </c>
      <c r="O165" s="39"/>
      <c r="P165" s="40" t="str">
        <f t="shared" si="1"/>
        <v>×</v>
      </c>
      <c r="Q165" s="33" t="s">
        <v>59</v>
      </c>
      <c r="S165" s="33"/>
      <c r="T165" s="33"/>
    </row>
    <row r="166" hidden="1">
      <c r="A166" s="17">
        <f t="shared" si="2"/>
        <v>164</v>
      </c>
      <c r="B166" s="42" t="s">
        <v>542</v>
      </c>
      <c r="C166" s="34" t="s">
        <v>487</v>
      </c>
      <c r="D166" s="36" t="s">
        <v>488</v>
      </c>
      <c r="E166" s="36"/>
      <c r="F166" s="17"/>
      <c r="G166" s="17" t="s">
        <v>2</v>
      </c>
      <c r="H166" s="38" t="s">
        <v>489</v>
      </c>
      <c r="I166" s="38"/>
      <c r="J166" s="38" t="s">
        <v>562</v>
      </c>
      <c r="K166" s="38" t="s">
        <v>491</v>
      </c>
      <c r="L166" s="38" t="s">
        <v>492</v>
      </c>
      <c r="M166" s="38"/>
      <c r="N166" s="44" t="s">
        <v>23</v>
      </c>
      <c r="O166" s="13"/>
      <c r="P166" s="40" t="str">
        <f t="shared" si="1"/>
        <v>×</v>
      </c>
      <c r="Q166" s="33" t="s">
        <v>59</v>
      </c>
      <c r="S166" s="33"/>
      <c r="T166" s="33"/>
    </row>
    <row r="167" hidden="1">
      <c r="A167" s="17">
        <f t="shared" si="2"/>
        <v>165</v>
      </c>
      <c r="B167" s="42" t="s">
        <v>542</v>
      </c>
      <c r="C167" s="42" t="s">
        <v>487</v>
      </c>
      <c r="D167" s="36" t="s">
        <v>493</v>
      </c>
      <c r="E167" s="36"/>
      <c r="F167" s="17"/>
      <c r="G167" s="17" t="s">
        <v>2</v>
      </c>
      <c r="H167" s="38" t="s">
        <v>489</v>
      </c>
      <c r="I167" s="38"/>
      <c r="J167" s="17" t="s">
        <v>66</v>
      </c>
      <c r="K167" s="38" t="s">
        <v>494</v>
      </c>
      <c r="L167" s="38" t="s">
        <v>495</v>
      </c>
      <c r="M167" s="38"/>
      <c r="N167" s="44" t="s">
        <v>23</v>
      </c>
      <c r="O167" s="13"/>
      <c r="P167" s="40" t="str">
        <f t="shared" si="1"/>
        <v>×</v>
      </c>
      <c r="Q167" s="33" t="s">
        <v>59</v>
      </c>
      <c r="S167" s="33"/>
      <c r="T167" s="33"/>
    </row>
    <row r="168" hidden="1">
      <c r="A168" s="17">
        <f t="shared" si="2"/>
        <v>166</v>
      </c>
      <c r="B168" s="42" t="s">
        <v>542</v>
      </c>
      <c r="C168" s="42" t="s">
        <v>487</v>
      </c>
      <c r="D168" s="36" t="s">
        <v>496</v>
      </c>
      <c r="E168" s="36"/>
      <c r="F168" s="17"/>
      <c r="G168" s="17" t="s">
        <v>7</v>
      </c>
      <c r="H168" s="38"/>
      <c r="I168" s="38"/>
      <c r="J168" s="17" t="s">
        <v>66</v>
      </c>
      <c r="K168" s="38" t="s">
        <v>497</v>
      </c>
      <c r="L168" s="38" t="s">
        <v>498</v>
      </c>
      <c r="M168" s="38"/>
      <c r="N168" s="44" t="s">
        <v>23</v>
      </c>
      <c r="O168" s="13"/>
      <c r="P168" s="40" t="str">
        <f t="shared" si="1"/>
        <v>×</v>
      </c>
      <c r="Q168" s="33" t="s">
        <v>59</v>
      </c>
      <c r="S168" s="33"/>
      <c r="T168" s="33"/>
    </row>
    <row r="169" hidden="1">
      <c r="A169" s="17">
        <f t="shared" si="2"/>
        <v>167</v>
      </c>
      <c r="B169" s="42" t="s">
        <v>542</v>
      </c>
      <c r="C169" s="42" t="s">
        <v>487</v>
      </c>
      <c r="D169" s="36" t="s">
        <v>499</v>
      </c>
      <c r="E169" s="36"/>
      <c r="F169" s="17"/>
      <c r="G169" s="17" t="s">
        <v>2</v>
      </c>
      <c r="H169" s="38"/>
      <c r="I169" s="38"/>
      <c r="J169" s="38" t="s">
        <v>562</v>
      </c>
      <c r="K169" s="38" t="s">
        <v>500</v>
      </c>
      <c r="L169" s="38" t="s">
        <v>501</v>
      </c>
      <c r="M169" s="38"/>
      <c r="N169" s="44" t="s">
        <v>23</v>
      </c>
      <c r="O169" s="13"/>
      <c r="P169" s="40" t="str">
        <f t="shared" si="1"/>
        <v>×</v>
      </c>
      <c r="Q169" s="33" t="s">
        <v>59</v>
      </c>
      <c r="S169" s="33"/>
      <c r="T169" s="33"/>
    </row>
    <row r="170" hidden="1">
      <c r="A170" s="17">
        <f t="shared" si="2"/>
        <v>168</v>
      </c>
      <c r="B170" s="42" t="s">
        <v>542</v>
      </c>
      <c r="C170" s="34" t="s">
        <v>563</v>
      </c>
      <c r="D170" s="36"/>
      <c r="E170" s="36"/>
      <c r="F170" s="17"/>
      <c r="G170" s="17" t="s">
        <v>2</v>
      </c>
      <c r="H170" s="38"/>
      <c r="I170" s="38"/>
      <c r="J170" s="38" t="s">
        <v>564</v>
      </c>
      <c r="K170" s="38" t="s">
        <v>565</v>
      </c>
      <c r="L170" s="38" t="s">
        <v>566</v>
      </c>
      <c r="M170" s="38"/>
      <c r="N170" s="44" t="s">
        <v>23</v>
      </c>
      <c r="O170" s="13"/>
      <c r="P170" s="40" t="str">
        <f t="shared" si="1"/>
        <v>×</v>
      </c>
      <c r="Q170" s="33" t="s">
        <v>59</v>
      </c>
      <c r="S170" s="33"/>
      <c r="T170" s="33"/>
    </row>
    <row r="171" hidden="1">
      <c r="A171" s="17">
        <f t="shared" si="2"/>
        <v>169</v>
      </c>
      <c r="B171" s="42" t="s">
        <v>542</v>
      </c>
      <c r="C171" s="34" t="s">
        <v>278</v>
      </c>
      <c r="D171" s="36"/>
      <c r="E171" s="36"/>
      <c r="F171" s="17"/>
      <c r="G171" s="17" t="s">
        <v>2</v>
      </c>
      <c r="H171" s="38"/>
      <c r="I171" s="38" t="s">
        <v>567</v>
      </c>
      <c r="J171" s="38" t="s">
        <v>548</v>
      </c>
      <c r="K171" s="38" t="s">
        <v>568</v>
      </c>
      <c r="L171" s="38" t="s">
        <v>569</v>
      </c>
      <c r="M171" s="38"/>
      <c r="N171" s="44" t="s">
        <v>23</v>
      </c>
      <c r="O171" s="13"/>
      <c r="P171" s="40" t="str">
        <f t="shared" si="1"/>
        <v>×</v>
      </c>
      <c r="Q171" s="33" t="s">
        <v>59</v>
      </c>
      <c r="S171" s="33"/>
      <c r="T171" s="33"/>
    </row>
    <row r="172" hidden="1">
      <c r="A172" s="17">
        <f t="shared" si="2"/>
        <v>170</v>
      </c>
      <c r="B172" s="42" t="s">
        <v>542</v>
      </c>
      <c r="C172" s="34" t="s">
        <v>454</v>
      </c>
      <c r="D172" s="36"/>
      <c r="E172" s="36"/>
      <c r="F172" s="17"/>
      <c r="G172" s="17" t="s">
        <v>2</v>
      </c>
      <c r="H172" s="38"/>
      <c r="I172" s="38" t="s">
        <v>456</v>
      </c>
      <c r="J172" s="38" t="s">
        <v>570</v>
      </c>
      <c r="K172" s="38" t="s">
        <v>458</v>
      </c>
      <c r="L172" s="38" t="s">
        <v>571</v>
      </c>
      <c r="M172" s="38"/>
      <c r="N172" s="44" t="s">
        <v>23</v>
      </c>
      <c r="O172" s="13"/>
      <c r="P172" s="40" t="str">
        <f t="shared" si="1"/>
        <v>×</v>
      </c>
      <c r="Q172" s="33" t="s">
        <v>59</v>
      </c>
      <c r="S172" s="33"/>
      <c r="T172" s="33"/>
    </row>
    <row r="173" hidden="1">
      <c r="A173" s="17">
        <f t="shared" si="2"/>
        <v>171</v>
      </c>
      <c r="B173" s="42" t="s">
        <v>542</v>
      </c>
      <c r="C173" s="34" t="s">
        <v>519</v>
      </c>
      <c r="D173" s="36"/>
      <c r="E173" s="36"/>
      <c r="F173" s="17"/>
      <c r="G173" s="17" t="s">
        <v>2</v>
      </c>
      <c r="H173" s="38"/>
      <c r="I173" s="38"/>
      <c r="J173" s="38" t="s">
        <v>548</v>
      </c>
      <c r="K173" s="38" t="s">
        <v>520</v>
      </c>
      <c r="L173" s="38" t="s">
        <v>572</v>
      </c>
      <c r="M173" s="38"/>
      <c r="N173" s="44" t="s">
        <v>23</v>
      </c>
      <c r="O173" s="13"/>
      <c r="P173" s="40" t="str">
        <f t="shared" si="1"/>
        <v>×</v>
      </c>
      <c r="Q173" s="33" t="s">
        <v>59</v>
      </c>
      <c r="S173" s="33"/>
      <c r="T173" s="33"/>
    </row>
    <row r="174" hidden="1">
      <c r="A174" s="17">
        <f t="shared" si="2"/>
        <v>172</v>
      </c>
      <c r="B174" s="34" t="s">
        <v>573</v>
      </c>
      <c r="C174" s="36" t="s">
        <v>88</v>
      </c>
      <c r="D174" s="36"/>
      <c r="E174" s="36"/>
      <c r="F174" s="17"/>
      <c r="G174" s="17" t="s">
        <v>2</v>
      </c>
      <c r="H174" s="38"/>
      <c r="I174" s="38"/>
      <c r="J174" s="38" t="s">
        <v>574</v>
      </c>
      <c r="K174" s="38" t="s">
        <v>575</v>
      </c>
      <c r="L174" s="38" t="s">
        <v>576</v>
      </c>
      <c r="M174" s="38"/>
      <c r="N174" s="44" t="s">
        <v>23</v>
      </c>
      <c r="O174" s="13"/>
      <c r="P174" s="40" t="str">
        <f t="shared" si="1"/>
        <v>×</v>
      </c>
      <c r="Q174" s="33" t="s">
        <v>59</v>
      </c>
      <c r="S174" s="41"/>
      <c r="T174" s="33"/>
    </row>
    <row r="175" hidden="1">
      <c r="A175" s="17">
        <f t="shared" si="2"/>
        <v>173</v>
      </c>
      <c r="B175" s="42" t="s">
        <v>573</v>
      </c>
      <c r="C175" s="36" t="s">
        <v>577</v>
      </c>
      <c r="D175" s="36"/>
      <c r="E175" s="36"/>
      <c r="F175" s="17"/>
      <c r="G175" s="17" t="s">
        <v>2</v>
      </c>
      <c r="H175" s="38"/>
      <c r="I175" s="38"/>
      <c r="J175" s="38" t="s">
        <v>574</v>
      </c>
      <c r="K175" s="38" t="s">
        <v>578</v>
      </c>
      <c r="L175" s="38" t="s">
        <v>579</v>
      </c>
      <c r="M175" s="38"/>
      <c r="N175" s="44" t="s">
        <v>23</v>
      </c>
      <c r="O175" s="13"/>
      <c r="P175" s="40" t="str">
        <f t="shared" si="1"/>
        <v>×</v>
      </c>
      <c r="Q175" s="33" t="s">
        <v>59</v>
      </c>
      <c r="S175" s="33"/>
      <c r="T175" s="33"/>
    </row>
    <row r="176" hidden="1">
      <c r="A176" s="17">
        <f t="shared" si="2"/>
        <v>174</v>
      </c>
      <c r="B176" s="42" t="s">
        <v>573</v>
      </c>
      <c r="C176" s="36" t="s">
        <v>155</v>
      </c>
      <c r="D176" s="36" t="s">
        <v>580</v>
      </c>
      <c r="E176" s="36"/>
      <c r="F176" s="17"/>
      <c r="G176" s="17" t="s">
        <v>7</v>
      </c>
      <c r="H176" s="38"/>
      <c r="I176" s="38"/>
      <c r="J176" s="38" t="s">
        <v>574</v>
      </c>
      <c r="K176" s="38" t="s">
        <v>581</v>
      </c>
      <c r="L176" s="38" t="s">
        <v>582</v>
      </c>
      <c r="M176" s="38"/>
      <c r="N176" s="44" t="s">
        <v>23</v>
      </c>
      <c r="O176" s="13"/>
      <c r="P176" s="40" t="str">
        <f t="shared" si="1"/>
        <v>×</v>
      </c>
      <c r="Q176" s="33" t="s">
        <v>59</v>
      </c>
      <c r="S176" s="33"/>
      <c r="T176" s="33"/>
    </row>
    <row r="177" hidden="1">
      <c r="A177" s="17">
        <f t="shared" si="2"/>
        <v>175</v>
      </c>
      <c r="B177" s="42" t="s">
        <v>573</v>
      </c>
      <c r="C177" s="45" t="s">
        <v>155</v>
      </c>
      <c r="D177" s="36" t="s">
        <v>583</v>
      </c>
      <c r="E177" s="36"/>
      <c r="F177" s="17"/>
      <c r="G177" s="17" t="s">
        <v>7</v>
      </c>
      <c r="H177" s="38"/>
      <c r="I177" s="38"/>
      <c r="J177" s="38" t="s">
        <v>66</v>
      </c>
      <c r="K177" s="38" t="s">
        <v>584</v>
      </c>
      <c r="L177" s="38" t="s">
        <v>585</v>
      </c>
      <c r="M177" s="38"/>
      <c r="N177" s="44" t="s">
        <v>23</v>
      </c>
      <c r="O177" s="13"/>
      <c r="P177" s="40" t="str">
        <f t="shared" si="1"/>
        <v>×</v>
      </c>
      <c r="Q177" s="33" t="s">
        <v>59</v>
      </c>
      <c r="S177" s="33"/>
      <c r="T177" s="33"/>
    </row>
    <row r="178" hidden="1">
      <c r="A178" s="17">
        <f t="shared" si="2"/>
        <v>176</v>
      </c>
      <c r="B178" s="42" t="s">
        <v>573</v>
      </c>
      <c r="C178" s="45" t="s">
        <v>155</v>
      </c>
      <c r="D178" s="36" t="s">
        <v>586</v>
      </c>
      <c r="E178" s="36"/>
      <c r="F178" s="17"/>
      <c r="G178" s="17" t="s">
        <v>7</v>
      </c>
      <c r="H178" s="38"/>
      <c r="I178" s="38"/>
      <c r="J178" s="38" t="s">
        <v>66</v>
      </c>
      <c r="K178" s="38" t="s">
        <v>587</v>
      </c>
      <c r="L178" s="38" t="s">
        <v>588</v>
      </c>
      <c r="M178" s="38"/>
      <c r="N178" s="44" t="s">
        <v>23</v>
      </c>
      <c r="O178" s="13"/>
      <c r="P178" s="40" t="str">
        <f t="shared" si="1"/>
        <v>×</v>
      </c>
      <c r="Q178" s="33" t="s">
        <v>59</v>
      </c>
      <c r="S178" s="33"/>
      <c r="T178" s="33"/>
    </row>
    <row r="179" hidden="1">
      <c r="A179" s="17">
        <f t="shared" si="2"/>
        <v>177</v>
      </c>
      <c r="B179" s="42" t="s">
        <v>573</v>
      </c>
      <c r="C179" s="36" t="s">
        <v>589</v>
      </c>
      <c r="D179" s="36"/>
      <c r="E179" s="36"/>
      <c r="F179" s="17"/>
      <c r="G179" s="17" t="s">
        <v>7</v>
      </c>
      <c r="H179" s="38"/>
      <c r="I179" s="38"/>
      <c r="J179" s="38" t="s">
        <v>574</v>
      </c>
      <c r="K179" s="38" t="s">
        <v>590</v>
      </c>
      <c r="L179" s="38" t="s">
        <v>591</v>
      </c>
      <c r="M179" s="38"/>
      <c r="N179" s="44" t="s">
        <v>23</v>
      </c>
      <c r="O179" s="13"/>
      <c r="P179" s="40" t="str">
        <f t="shared" si="1"/>
        <v>×</v>
      </c>
      <c r="Q179" s="33" t="s">
        <v>59</v>
      </c>
      <c r="S179" s="33"/>
      <c r="T179" s="33"/>
    </row>
    <row r="180" hidden="1">
      <c r="A180" s="17">
        <f t="shared" si="2"/>
        <v>178</v>
      </c>
      <c r="B180" s="42" t="s">
        <v>573</v>
      </c>
      <c r="C180" s="45" t="s">
        <v>589</v>
      </c>
      <c r="D180" s="36" t="s">
        <v>586</v>
      </c>
      <c r="E180" s="36"/>
      <c r="F180" s="17"/>
      <c r="G180" s="17" t="s">
        <v>7</v>
      </c>
      <c r="H180" s="38"/>
      <c r="I180" s="38"/>
      <c r="J180" s="38" t="s">
        <v>66</v>
      </c>
      <c r="K180" s="38" t="s">
        <v>592</v>
      </c>
      <c r="L180" s="38" t="s">
        <v>593</v>
      </c>
      <c r="M180" s="38"/>
      <c r="N180" s="44" t="s">
        <v>23</v>
      </c>
      <c r="O180" s="13"/>
      <c r="P180" s="40" t="str">
        <f t="shared" si="1"/>
        <v>×</v>
      </c>
      <c r="Q180" s="33" t="s">
        <v>59</v>
      </c>
      <c r="S180" s="33"/>
      <c r="T180" s="33"/>
    </row>
    <row r="181" hidden="1">
      <c r="A181" s="17">
        <f t="shared" si="2"/>
        <v>179</v>
      </c>
      <c r="B181" s="42" t="s">
        <v>573</v>
      </c>
      <c r="C181" s="36" t="s">
        <v>594</v>
      </c>
      <c r="D181" s="36" t="s">
        <v>81</v>
      </c>
      <c r="E181" s="36"/>
      <c r="F181" s="17"/>
      <c r="G181" s="17" t="s">
        <v>2</v>
      </c>
      <c r="H181" s="38"/>
      <c r="I181" s="38"/>
      <c r="J181" s="38" t="s">
        <v>574</v>
      </c>
      <c r="K181" s="38" t="s">
        <v>595</v>
      </c>
      <c r="L181" s="38" t="s">
        <v>596</v>
      </c>
      <c r="M181" s="38"/>
      <c r="N181" s="44" t="s">
        <v>23</v>
      </c>
      <c r="O181" s="13"/>
      <c r="P181" s="40" t="str">
        <f t="shared" si="1"/>
        <v>×</v>
      </c>
      <c r="Q181" s="33" t="s">
        <v>59</v>
      </c>
      <c r="S181" s="33"/>
      <c r="T181" s="33"/>
    </row>
    <row r="182" hidden="1">
      <c r="A182" s="17">
        <f t="shared" si="2"/>
        <v>180</v>
      </c>
      <c r="B182" s="42" t="s">
        <v>573</v>
      </c>
      <c r="C182" s="45" t="s">
        <v>594</v>
      </c>
      <c r="D182" s="36" t="s">
        <v>85</v>
      </c>
      <c r="E182" s="36"/>
      <c r="F182" s="17"/>
      <c r="G182" s="17" t="s">
        <v>2</v>
      </c>
      <c r="H182" s="38"/>
      <c r="I182" s="38"/>
      <c r="J182" s="38" t="s">
        <v>574</v>
      </c>
      <c r="K182" s="38" t="s">
        <v>597</v>
      </c>
      <c r="L182" s="38" t="s">
        <v>598</v>
      </c>
      <c r="M182" s="38"/>
      <c r="N182" s="44" t="s">
        <v>23</v>
      </c>
      <c r="O182" s="13"/>
      <c r="P182" s="40" t="str">
        <f t="shared" si="1"/>
        <v>×</v>
      </c>
      <c r="Q182" s="33" t="s">
        <v>59</v>
      </c>
      <c r="S182" s="33"/>
      <c r="T182" s="33"/>
    </row>
    <row r="183" hidden="1">
      <c r="A183" s="17">
        <f t="shared" si="2"/>
        <v>181</v>
      </c>
      <c r="B183" s="42" t="s">
        <v>573</v>
      </c>
      <c r="C183" s="36" t="s">
        <v>599</v>
      </c>
      <c r="D183" s="36"/>
      <c r="E183" s="36"/>
      <c r="F183" s="17"/>
      <c r="G183" s="17" t="s">
        <v>2</v>
      </c>
      <c r="H183" s="38"/>
      <c r="I183" s="38"/>
      <c r="J183" s="38" t="s">
        <v>574</v>
      </c>
      <c r="K183" s="38" t="s">
        <v>600</v>
      </c>
      <c r="L183" s="38" t="s">
        <v>601</v>
      </c>
      <c r="M183" s="38"/>
      <c r="N183" s="44" t="s">
        <v>23</v>
      </c>
      <c r="O183" s="13"/>
      <c r="P183" s="40" t="str">
        <f t="shared" si="1"/>
        <v>×</v>
      </c>
      <c r="Q183" s="33" t="s">
        <v>59</v>
      </c>
      <c r="S183" s="33"/>
      <c r="T183" s="33"/>
    </row>
    <row r="184">
      <c r="A184" s="17">
        <f t="shared" si="2"/>
        <v>182</v>
      </c>
      <c r="B184" s="42" t="s">
        <v>573</v>
      </c>
      <c r="C184" s="60" t="s">
        <v>602</v>
      </c>
      <c r="D184" s="61" t="s">
        <v>603</v>
      </c>
      <c r="E184" s="61"/>
      <c r="F184" s="17"/>
      <c r="G184" s="17" t="s">
        <v>9</v>
      </c>
      <c r="H184" s="38"/>
      <c r="I184" s="38"/>
      <c r="J184" s="38" t="s">
        <v>604</v>
      </c>
      <c r="K184" s="38" t="s">
        <v>605</v>
      </c>
      <c r="L184" s="38" t="s">
        <v>606</v>
      </c>
      <c r="M184" s="38"/>
      <c r="N184" s="44" t="s">
        <v>23</v>
      </c>
      <c r="O184" s="62"/>
    </row>
    <row r="185">
      <c r="A185" s="17">
        <f t="shared" si="2"/>
        <v>183</v>
      </c>
      <c r="B185" s="42" t="s">
        <v>573</v>
      </c>
      <c r="C185" s="63" t="s">
        <v>602</v>
      </c>
      <c r="D185" s="60" t="s">
        <v>504</v>
      </c>
      <c r="E185" s="61" t="s">
        <v>89</v>
      </c>
      <c r="F185" s="17"/>
      <c r="G185" s="17" t="s">
        <v>9</v>
      </c>
      <c r="H185" s="38" t="s">
        <v>607</v>
      </c>
      <c r="I185" s="38"/>
      <c r="J185" s="17" t="s">
        <v>66</v>
      </c>
      <c r="K185" s="38" t="s">
        <v>608</v>
      </c>
      <c r="L185" s="38" t="s">
        <v>91</v>
      </c>
      <c r="M185" s="38"/>
      <c r="N185" s="44" t="s">
        <v>23</v>
      </c>
      <c r="O185" s="62"/>
      <c r="P185" s="1"/>
      <c r="Q185" s="59"/>
      <c r="S185" s="1"/>
      <c r="T185" s="64"/>
    </row>
    <row r="186">
      <c r="A186" s="17">
        <f t="shared" si="2"/>
        <v>184</v>
      </c>
      <c r="B186" s="42" t="s">
        <v>573</v>
      </c>
      <c r="C186" s="63" t="s">
        <v>602</v>
      </c>
      <c r="D186" s="63" t="s">
        <v>504</v>
      </c>
      <c r="E186" s="61" t="s">
        <v>92</v>
      </c>
      <c r="F186" s="17"/>
      <c r="G186" s="17" t="s">
        <v>9</v>
      </c>
      <c r="H186" s="38" t="s">
        <v>607</v>
      </c>
      <c r="I186" s="38"/>
      <c r="J186" s="38" t="s">
        <v>66</v>
      </c>
      <c r="K186" s="38" t="s">
        <v>93</v>
      </c>
      <c r="L186" s="38" t="s">
        <v>94</v>
      </c>
      <c r="M186" s="38"/>
      <c r="N186" s="44" t="s">
        <v>23</v>
      </c>
      <c r="O186" s="62"/>
      <c r="Q186" s="59"/>
    </row>
    <row r="187">
      <c r="A187" s="17">
        <f t="shared" si="2"/>
        <v>185</v>
      </c>
      <c r="B187" s="42" t="s">
        <v>573</v>
      </c>
      <c r="C187" s="63" t="s">
        <v>602</v>
      </c>
      <c r="D187" s="34" t="s">
        <v>609</v>
      </c>
      <c r="E187" s="61" t="s">
        <v>60</v>
      </c>
      <c r="F187" s="17"/>
      <c r="G187" s="17" t="s">
        <v>9</v>
      </c>
      <c r="H187" s="38" t="s">
        <v>463</v>
      </c>
      <c r="I187" s="38"/>
      <c r="J187" s="38" t="s">
        <v>66</v>
      </c>
      <c r="K187" s="38" t="s">
        <v>610</v>
      </c>
      <c r="L187" s="38" t="s">
        <v>611</v>
      </c>
      <c r="M187" s="38"/>
      <c r="N187" s="44" t="s">
        <v>23</v>
      </c>
      <c r="O187" s="62"/>
      <c r="Q187" s="59"/>
    </row>
    <row r="188">
      <c r="A188" s="17">
        <f t="shared" si="2"/>
        <v>186</v>
      </c>
      <c r="B188" s="42" t="s">
        <v>573</v>
      </c>
      <c r="C188" s="63" t="s">
        <v>602</v>
      </c>
      <c r="D188" s="42" t="s">
        <v>609</v>
      </c>
      <c r="E188" s="61" t="s">
        <v>612</v>
      </c>
      <c r="F188" s="17"/>
      <c r="G188" s="17" t="s">
        <v>9</v>
      </c>
      <c r="H188" s="17"/>
      <c r="I188" s="17"/>
      <c r="J188" s="38" t="s">
        <v>66</v>
      </c>
      <c r="K188" s="38" t="s">
        <v>613</v>
      </c>
      <c r="L188" s="38" t="s">
        <v>614</v>
      </c>
      <c r="M188" s="38"/>
      <c r="N188" s="44" t="s">
        <v>23</v>
      </c>
      <c r="O188" s="62"/>
      <c r="Q188" s="59"/>
    </row>
    <row r="189">
      <c r="A189" s="17">
        <f t="shared" si="2"/>
        <v>187</v>
      </c>
      <c r="B189" s="42" t="s">
        <v>573</v>
      </c>
      <c r="C189" s="60" t="s">
        <v>615</v>
      </c>
      <c r="D189" s="60" t="s">
        <v>504</v>
      </c>
      <c r="E189" s="61" t="s">
        <v>89</v>
      </c>
      <c r="F189" s="38" t="s">
        <v>616</v>
      </c>
      <c r="G189" s="17" t="s">
        <v>9</v>
      </c>
      <c r="H189" s="38" t="s">
        <v>607</v>
      </c>
      <c r="I189" s="46"/>
      <c r="J189" s="17" t="s">
        <v>66</v>
      </c>
      <c r="K189" s="38" t="s">
        <v>617</v>
      </c>
      <c r="L189" s="38" t="s">
        <v>91</v>
      </c>
      <c r="M189" s="38"/>
      <c r="N189" s="44" t="s">
        <v>23</v>
      </c>
      <c r="O189" s="65"/>
      <c r="P189" s="1"/>
      <c r="T189" s="33"/>
    </row>
    <row r="190">
      <c r="A190" s="17">
        <f t="shared" si="2"/>
        <v>188</v>
      </c>
      <c r="B190" s="42" t="s">
        <v>573</v>
      </c>
      <c r="C190" s="63" t="s">
        <v>615</v>
      </c>
      <c r="D190" s="63" t="s">
        <v>504</v>
      </c>
      <c r="E190" s="61" t="s">
        <v>92</v>
      </c>
      <c r="F190" s="17"/>
      <c r="G190" s="17" t="s">
        <v>9</v>
      </c>
      <c r="H190" s="38"/>
      <c r="I190" s="46"/>
      <c r="J190" s="38" t="s">
        <v>66</v>
      </c>
      <c r="K190" s="38" t="s">
        <v>618</v>
      </c>
      <c r="L190" s="38" t="s">
        <v>94</v>
      </c>
      <c r="M190" s="38"/>
      <c r="N190" s="44" t="s">
        <v>23</v>
      </c>
      <c r="O190" s="65"/>
      <c r="P190" s="1"/>
    </row>
    <row r="191">
      <c r="A191" s="17">
        <f t="shared" si="2"/>
        <v>189</v>
      </c>
      <c r="B191" s="42" t="s">
        <v>573</v>
      </c>
      <c r="C191" s="63" t="s">
        <v>615</v>
      </c>
      <c r="D191" s="34" t="s">
        <v>619</v>
      </c>
      <c r="E191" s="61"/>
      <c r="F191" s="17"/>
      <c r="G191" s="17" t="s">
        <v>9</v>
      </c>
      <c r="H191" s="38"/>
      <c r="I191" s="46"/>
      <c r="J191" s="38" t="s">
        <v>66</v>
      </c>
      <c r="K191" s="38" t="s">
        <v>620</v>
      </c>
      <c r="L191" s="38" t="s">
        <v>621</v>
      </c>
      <c r="M191" s="38"/>
      <c r="N191" s="44" t="s">
        <v>23</v>
      </c>
      <c r="O191" s="65"/>
      <c r="P191" s="1"/>
    </row>
    <row r="192">
      <c r="A192" s="17">
        <f t="shared" si="2"/>
        <v>190</v>
      </c>
      <c r="B192" s="42" t="s">
        <v>573</v>
      </c>
      <c r="C192" s="63" t="s">
        <v>615</v>
      </c>
      <c r="D192" s="34" t="s">
        <v>622</v>
      </c>
      <c r="E192" s="61"/>
      <c r="F192" s="17"/>
      <c r="G192" s="17" t="s">
        <v>9</v>
      </c>
      <c r="H192" s="38"/>
      <c r="I192" s="38" t="s">
        <v>95</v>
      </c>
      <c r="J192" s="38" t="s">
        <v>66</v>
      </c>
      <c r="K192" s="38" t="s">
        <v>623</v>
      </c>
      <c r="L192" s="38" t="s">
        <v>624</v>
      </c>
      <c r="M192" s="38"/>
      <c r="N192" s="44" t="s">
        <v>23</v>
      </c>
      <c r="O192" s="65"/>
      <c r="P192" s="1"/>
    </row>
    <row r="193">
      <c r="A193" s="17">
        <f t="shared" si="2"/>
        <v>191</v>
      </c>
      <c r="B193" s="42" t="s">
        <v>573</v>
      </c>
      <c r="C193" s="60" t="s">
        <v>114</v>
      </c>
      <c r="D193" s="60"/>
      <c r="E193" s="36"/>
      <c r="F193" s="17"/>
      <c r="G193" s="17" t="s">
        <v>9</v>
      </c>
      <c r="H193" s="38"/>
      <c r="I193" s="38"/>
      <c r="J193" s="38" t="s">
        <v>604</v>
      </c>
      <c r="K193" s="38" t="s">
        <v>625</v>
      </c>
      <c r="L193" s="38" t="s">
        <v>626</v>
      </c>
      <c r="M193" s="38"/>
      <c r="N193" s="44" t="s">
        <v>23</v>
      </c>
      <c r="O193" s="65"/>
      <c r="P193" s="1"/>
      <c r="S193" s="33"/>
    </row>
    <row r="194">
      <c r="A194" s="17">
        <f t="shared" si="2"/>
        <v>192</v>
      </c>
      <c r="B194" s="42" t="s">
        <v>573</v>
      </c>
      <c r="C194" s="34" t="s">
        <v>117</v>
      </c>
      <c r="D194" s="60"/>
      <c r="E194" s="36"/>
      <c r="F194" s="17"/>
      <c r="G194" s="17" t="s">
        <v>9</v>
      </c>
      <c r="H194" s="38"/>
      <c r="I194" s="38"/>
      <c r="J194" s="38" t="s">
        <v>604</v>
      </c>
      <c r="K194" s="38" t="s">
        <v>625</v>
      </c>
      <c r="L194" s="38" t="s">
        <v>627</v>
      </c>
      <c r="M194" s="38"/>
      <c r="N194" s="44" t="s">
        <v>23</v>
      </c>
      <c r="O194" s="65"/>
      <c r="P194" s="1"/>
      <c r="S194" s="33"/>
    </row>
    <row r="195">
      <c r="A195" s="17">
        <f t="shared" si="2"/>
        <v>193</v>
      </c>
      <c r="B195" s="42" t="s">
        <v>573</v>
      </c>
      <c r="C195" s="60" t="s">
        <v>628</v>
      </c>
      <c r="D195" s="60" t="s">
        <v>629</v>
      </c>
      <c r="E195" s="36" t="s">
        <v>630</v>
      </c>
      <c r="F195" s="17"/>
      <c r="G195" s="17" t="s">
        <v>9</v>
      </c>
      <c r="H195" s="38"/>
      <c r="I195" s="38"/>
      <c r="J195" s="38" t="s">
        <v>604</v>
      </c>
      <c r="K195" s="38" t="s">
        <v>631</v>
      </c>
      <c r="L195" s="38" t="s">
        <v>632</v>
      </c>
      <c r="M195" s="38"/>
      <c r="N195" s="44" t="s">
        <v>23</v>
      </c>
      <c r="O195" s="65"/>
      <c r="P195" s="1"/>
    </row>
    <row r="196">
      <c r="A196" s="17">
        <f t="shared" si="2"/>
        <v>194</v>
      </c>
      <c r="B196" s="42" t="s">
        <v>573</v>
      </c>
      <c r="C196" s="63" t="s">
        <v>628</v>
      </c>
      <c r="D196" s="63" t="s">
        <v>629</v>
      </c>
      <c r="E196" s="36" t="s">
        <v>633</v>
      </c>
      <c r="F196" s="17"/>
      <c r="G196" s="17" t="s">
        <v>9</v>
      </c>
      <c r="H196" s="38"/>
      <c r="I196" s="38"/>
      <c r="J196" s="38" t="s">
        <v>66</v>
      </c>
      <c r="K196" s="38" t="s">
        <v>634</v>
      </c>
      <c r="L196" s="38" t="s">
        <v>635</v>
      </c>
      <c r="M196" s="38"/>
      <c r="N196" s="44" t="s">
        <v>23</v>
      </c>
      <c r="O196" s="65"/>
      <c r="P196" s="1"/>
      <c r="S196" s="66"/>
      <c r="T196" s="64"/>
    </row>
    <row r="197">
      <c r="A197" s="17">
        <f t="shared" si="2"/>
        <v>195</v>
      </c>
      <c r="B197" s="42" t="s">
        <v>573</v>
      </c>
      <c r="C197" s="63" t="s">
        <v>628</v>
      </c>
      <c r="D197" s="63" t="s">
        <v>629</v>
      </c>
      <c r="E197" s="36" t="s">
        <v>636</v>
      </c>
      <c r="F197" s="17"/>
      <c r="G197" s="17" t="s">
        <v>9</v>
      </c>
      <c r="H197" s="38"/>
      <c r="I197" s="38" t="s">
        <v>637</v>
      </c>
      <c r="J197" s="38" t="s">
        <v>638</v>
      </c>
      <c r="K197" s="38" t="s">
        <v>639</v>
      </c>
      <c r="L197" s="38" t="s">
        <v>640</v>
      </c>
      <c r="M197" s="38"/>
      <c r="N197" s="44" t="s">
        <v>23</v>
      </c>
      <c r="O197" s="65"/>
      <c r="P197" s="1"/>
      <c r="S197" s="66"/>
      <c r="T197" s="64"/>
    </row>
    <row r="198">
      <c r="A198" s="17">
        <f t="shared" si="2"/>
        <v>196</v>
      </c>
      <c r="B198" s="42" t="s">
        <v>573</v>
      </c>
      <c r="C198" s="63" t="s">
        <v>628</v>
      </c>
      <c r="D198" s="63" t="s">
        <v>629</v>
      </c>
      <c r="E198" s="61" t="s">
        <v>480</v>
      </c>
      <c r="F198" s="17"/>
      <c r="G198" s="17" t="s">
        <v>9</v>
      </c>
      <c r="H198" s="38"/>
      <c r="I198" s="38"/>
      <c r="J198" s="38" t="s">
        <v>641</v>
      </c>
      <c r="K198" s="38" t="s">
        <v>642</v>
      </c>
      <c r="L198" s="38" t="s">
        <v>484</v>
      </c>
      <c r="M198" s="38"/>
      <c r="N198" s="44" t="s">
        <v>23</v>
      </c>
      <c r="O198" s="62"/>
      <c r="P198" s="1"/>
    </row>
    <row r="199">
      <c r="A199" s="17">
        <f t="shared" si="2"/>
        <v>197</v>
      </c>
      <c r="B199" s="42" t="s">
        <v>573</v>
      </c>
      <c r="C199" s="63" t="s">
        <v>628</v>
      </c>
      <c r="D199" s="63" t="s">
        <v>629</v>
      </c>
      <c r="E199" s="61" t="s">
        <v>504</v>
      </c>
      <c r="F199" s="17" t="s">
        <v>643</v>
      </c>
      <c r="G199" s="17" t="s">
        <v>9</v>
      </c>
      <c r="H199" s="38"/>
      <c r="I199" s="38"/>
      <c r="J199" s="38" t="s">
        <v>604</v>
      </c>
      <c r="K199" s="38" t="s">
        <v>644</v>
      </c>
      <c r="L199" s="38" t="s">
        <v>645</v>
      </c>
      <c r="M199" s="38"/>
      <c r="N199" s="44" t="s">
        <v>23</v>
      </c>
      <c r="O199" s="62"/>
      <c r="P199" s="1"/>
      <c r="Q199" s="1"/>
    </row>
    <row r="200">
      <c r="A200" s="17">
        <f t="shared" si="2"/>
        <v>198</v>
      </c>
      <c r="B200" s="42" t="s">
        <v>573</v>
      </c>
      <c r="C200" s="63" t="s">
        <v>628</v>
      </c>
      <c r="D200" s="63" t="s">
        <v>629</v>
      </c>
      <c r="E200" s="61" t="s">
        <v>646</v>
      </c>
      <c r="F200" s="17"/>
      <c r="G200" s="17" t="s">
        <v>9</v>
      </c>
      <c r="H200" s="38"/>
      <c r="I200" s="46" t="s">
        <v>647</v>
      </c>
      <c r="J200" s="17" t="s">
        <v>66</v>
      </c>
      <c r="K200" s="38" t="s">
        <v>648</v>
      </c>
      <c r="L200" s="38" t="s">
        <v>649</v>
      </c>
      <c r="M200" s="38"/>
      <c r="N200" s="44" t="s">
        <v>23</v>
      </c>
      <c r="O200" s="62"/>
      <c r="P200" s="1"/>
    </row>
    <row r="201">
      <c r="A201" s="17">
        <f t="shared" si="2"/>
        <v>199</v>
      </c>
      <c r="B201" s="42" t="s">
        <v>573</v>
      </c>
      <c r="C201" s="63" t="s">
        <v>628</v>
      </c>
      <c r="D201" s="63" t="s">
        <v>629</v>
      </c>
      <c r="E201" s="61" t="s">
        <v>650</v>
      </c>
      <c r="F201" s="17"/>
      <c r="G201" s="17" t="s">
        <v>9</v>
      </c>
      <c r="H201" s="38"/>
      <c r="I201" s="38"/>
      <c r="J201" s="17" t="s">
        <v>66</v>
      </c>
      <c r="K201" s="38" t="s">
        <v>651</v>
      </c>
      <c r="L201" s="38" t="s">
        <v>652</v>
      </c>
      <c r="M201" s="38"/>
      <c r="N201" s="44" t="s">
        <v>23</v>
      </c>
      <c r="O201" s="62"/>
      <c r="P201" s="1"/>
    </row>
    <row r="202">
      <c r="A202" s="17">
        <f t="shared" si="2"/>
        <v>200</v>
      </c>
      <c r="B202" s="42" t="s">
        <v>573</v>
      </c>
      <c r="C202" s="63" t="s">
        <v>628</v>
      </c>
      <c r="D202" s="60" t="s">
        <v>653</v>
      </c>
      <c r="E202" s="36" t="s">
        <v>654</v>
      </c>
      <c r="F202" s="17"/>
      <c r="G202" s="17" t="s">
        <v>9</v>
      </c>
      <c r="H202" s="38"/>
      <c r="I202" s="38"/>
      <c r="J202" s="17" t="s">
        <v>66</v>
      </c>
      <c r="K202" s="38" t="s">
        <v>655</v>
      </c>
      <c r="L202" s="38" t="s">
        <v>656</v>
      </c>
      <c r="M202" s="38"/>
      <c r="N202" s="44" t="s">
        <v>23</v>
      </c>
      <c r="O202" s="67"/>
      <c r="P202" s="1"/>
    </row>
    <row r="203">
      <c r="A203" s="17">
        <f t="shared" si="2"/>
        <v>201</v>
      </c>
      <c r="B203" s="42" t="s">
        <v>573</v>
      </c>
      <c r="C203" s="63" t="s">
        <v>628</v>
      </c>
      <c r="D203" s="63" t="s">
        <v>653</v>
      </c>
      <c r="E203" s="61" t="s">
        <v>504</v>
      </c>
      <c r="F203" s="17"/>
      <c r="G203" s="17" t="s">
        <v>9</v>
      </c>
      <c r="H203" s="38"/>
      <c r="I203" s="38" t="s">
        <v>657</v>
      </c>
      <c r="J203" s="17" t="s">
        <v>66</v>
      </c>
      <c r="K203" s="38" t="s">
        <v>658</v>
      </c>
      <c r="L203" s="38" t="s">
        <v>659</v>
      </c>
      <c r="M203" s="38"/>
      <c r="N203" s="44" t="s">
        <v>23</v>
      </c>
      <c r="O203" s="68"/>
      <c r="P203" s="1"/>
    </row>
    <row r="204">
      <c r="A204" s="17">
        <f t="shared" si="2"/>
        <v>202</v>
      </c>
      <c r="B204" s="42" t="s">
        <v>573</v>
      </c>
      <c r="C204" s="63" t="s">
        <v>628</v>
      </c>
      <c r="D204" s="61" t="s">
        <v>211</v>
      </c>
      <c r="E204" s="61" t="s">
        <v>488</v>
      </c>
      <c r="F204" s="17"/>
      <c r="G204" s="17" t="s">
        <v>9</v>
      </c>
      <c r="H204" s="38"/>
      <c r="I204" s="38"/>
      <c r="J204" s="17" t="s">
        <v>66</v>
      </c>
      <c r="K204" s="17" t="s">
        <v>660</v>
      </c>
      <c r="L204" s="38" t="s">
        <v>661</v>
      </c>
      <c r="M204" s="38"/>
      <c r="N204" s="44" t="s">
        <v>23</v>
      </c>
      <c r="O204" s="62"/>
      <c r="P204" s="1"/>
    </row>
    <row r="205">
      <c r="A205" s="17">
        <f t="shared" si="2"/>
        <v>203</v>
      </c>
      <c r="B205" s="42" t="s">
        <v>573</v>
      </c>
      <c r="C205" s="63" t="s">
        <v>628</v>
      </c>
      <c r="D205" s="60" t="s">
        <v>662</v>
      </c>
      <c r="E205" s="61" t="s">
        <v>663</v>
      </c>
      <c r="F205" s="17"/>
      <c r="G205" s="17" t="s">
        <v>9</v>
      </c>
      <c r="H205" s="38"/>
      <c r="I205" s="38"/>
      <c r="J205" s="17" t="s">
        <v>66</v>
      </c>
      <c r="K205" s="17" t="s">
        <v>664</v>
      </c>
      <c r="L205" s="38" t="s">
        <v>665</v>
      </c>
      <c r="M205" s="38"/>
      <c r="N205" s="44" t="s">
        <v>23</v>
      </c>
      <c r="O205" s="67"/>
      <c r="P205" s="1"/>
      <c r="S205" s="51"/>
      <c r="T205" s="69"/>
    </row>
    <row r="206">
      <c r="A206" s="17">
        <f t="shared" si="2"/>
        <v>204</v>
      </c>
      <c r="B206" s="42" t="s">
        <v>573</v>
      </c>
      <c r="C206" s="63" t="s">
        <v>628</v>
      </c>
      <c r="D206" s="63" t="s">
        <v>662</v>
      </c>
      <c r="E206" s="61" t="s">
        <v>666</v>
      </c>
      <c r="F206" s="17"/>
      <c r="G206" s="17" t="s">
        <v>9</v>
      </c>
      <c r="H206" s="38"/>
      <c r="I206" s="38"/>
      <c r="J206" s="17" t="s">
        <v>66</v>
      </c>
      <c r="K206" s="38" t="s">
        <v>667</v>
      </c>
      <c r="L206" s="38" t="s">
        <v>668</v>
      </c>
      <c r="M206" s="38"/>
      <c r="N206" s="44" t="s">
        <v>23</v>
      </c>
      <c r="O206" s="67"/>
      <c r="P206" s="1"/>
    </row>
    <row r="207">
      <c r="A207" s="17">
        <f t="shared" si="2"/>
        <v>205</v>
      </c>
      <c r="B207" s="42" t="s">
        <v>573</v>
      </c>
      <c r="C207" s="63" t="s">
        <v>628</v>
      </c>
      <c r="D207" s="63" t="s">
        <v>662</v>
      </c>
      <c r="E207" s="61" t="s">
        <v>669</v>
      </c>
      <c r="F207" s="17"/>
      <c r="G207" s="17" t="s">
        <v>9</v>
      </c>
      <c r="H207" s="38"/>
      <c r="I207" s="38"/>
      <c r="J207" s="17" t="s">
        <v>66</v>
      </c>
      <c r="K207" s="38" t="s">
        <v>670</v>
      </c>
      <c r="L207" s="38" t="s">
        <v>671</v>
      </c>
      <c r="M207" s="38"/>
      <c r="N207" s="44" t="s">
        <v>23</v>
      </c>
      <c r="O207" s="59"/>
      <c r="P207" s="1"/>
    </row>
    <row r="208">
      <c r="A208" s="17">
        <f t="shared" si="2"/>
        <v>206</v>
      </c>
      <c r="B208" s="42" t="s">
        <v>573</v>
      </c>
      <c r="C208" s="60" t="s">
        <v>672</v>
      </c>
      <c r="D208" s="63"/>
      <c r="E208" s="61"/>
      <c r="F208" s="17"/>
      <c r="G208" s="17" t="s">
        <v>9</v>
      </c>
      <c r="H208" s="38"/>
      <c r="I208" s="38" t="s">
        <v>673</v>
      </c>
      <c r="J208" s="38" t="s">
        <v>604</v>
      </c>
      <c r="K208" s="38" t="s">
        <v>674</v>
      </c>
      <c r="L208" s="38" t="s">
        <v>671</v>
      </c>
      <c r="M208" s="38"/>
      <c r="N208" s="44" t="s">
        <v>23</v>
      </c>
      <c r="O208" s="59"/>
      <c r="P208" s="70"/>
    </row>
    <row r="209">
      <c r="A209" s="17">
        <f t="shared" si="2"/>
        <v>207</v>
      </c>
      <c r="B209" s="42" t="s">
        <v>573</v>
      </c>
      <c r="C209" s="60" t="s">
        <v>675</v>
      </c>
      <c r="D209" s="61"/>
      <c r="E209" s="61"/>
      <c r="F209" s="17"/>
      <c r="G209" s="17" t="s">
        <v>9</v>
      </c>
      <c r="H209" s="38"/>
      <c r="I209" s="38" t="s">
        <v>673</v>
      </c>
      <c r="J209" s="38" t="s">
        <v>604</v>
      </c>
      <c r="K209" s="38" t="s">
        <v>676</v>
      </c>
      <c r="L209" s="38" t="s">
        <v>677</v>
      </c>
      <c r="M209" s="38"/>
      <c r="N209" s="44" t="s">
        <v>23</v>
      </c>
      <c r="O209" s="59"/>
    </row>
    <row r="210">
      <c r="A210" s="17">
        <f t="shared" si="2"/>
        <v>208</v>
      </c>
      <c r="B210" s="42" t="s">
        <v>573</v>
      </c>
      <c r="C210" s="60" t="s">
        <v>98</v>
      </c>
      <c r="D210" s="61"/>
      <c r="E210" s="61"/>
      <c r="F210" s="17"/>
      <c r="G210" s="17" t="s">
        <v>9</v>
      </c>
      <c r="H210" s="38" t="s">
        <v>463</v>
      </c>
      <c r="I210" s="38"/>
      <c r="J210" s="38" t="s">
        <v>604</v>
      </c>
      <c r="K210" s="38" t="s">
        <v>678</v>
      </c>
      <c r="L210" s="38" t="s">
        <v>100</v>
      </c>
      <c r="M210" s="38"/>
      <c r="N210" s="44" t="s">
        <v>23</v>
      </c>
      <c r="O210" s="59"/>
    </row>
    <row r="211">
      <c r="A211" s="17">
        <f t="shared" si="2"/>
        <v>209</v>
      </c>
      <c r="B211" s="42" t="s">
        <v>573</v>
      </c>
      <c r="C211" s="71" t="s">
        <v>98</v>
      </c>
      <c r="D211" s="36" t="s">
        <v>443</v>
      </c>
      <c r="E211" s="61"/>
      <c r="F211" s="17"/>
      <c r="G211" s="17" t="s">
        <v>9</v>
      </c>
      <c r="H211" s="38"/>
      <c r="I211" s="38" t="s">
        <v>679</v>
      </c>
      <c r="J211" s="38" t="s">
        <v>604</v>
      </c>
      <c r="K211" s="38" t="s">
        <v>680</v>
      </c>
      <c r="L211" s="38" t="s">
        <v>100</v>
      </c>
      <c r="M211" s="38"/>
      <c r="N211" s="44" t="s">
        <v>23</v>
      </c>
      <c r="O211" s="59"/>
    </row>
    <row r="212">
      <c r="A212" s="17">
        <f t="shared" si="2"/>
        <v>210</v>
      </c>
      <c r="B212" s="42" t="s">
        <v>573</v>
      </c>
      <c r="C212" s="71" t="s">
        <v>98</v>
      </c>
      <c r="D212" s="36" t="s">
        <v>681</v>
      </c>
      <c r="E212" s="61"/>
      <c r="F212" s="17"/>
      <c r="G212" s="17" t="s">
        <v>9</v>
      </c>
      <c r="H212" s="38"/>
      <c r="I212" s="38" t="s">
        <v>682</v>
      </c>
      <c r="J212" s="38" t="s">
        <v>604</v>
      </c>
      <c r="K212" s="38" t="s">
        <v>683</v>
      </c>
      <c r="L212" s="38" t="s">
        <v>145</v>
      </c>
      <c r="M212" s="38"/>
      <c r="N212" s="44" t="s">
        <v>23</v>
      </c>
      <c r="O212" s="59"/>
      <c r="T212" s="64"/>
    </row>
    <row r="213">
      <c r="A213" s="17">
        <f t="shared" si="2"/>
        <v>211</v>
      </c>
      <c r="B213" s="42" t="s">
        <v>573</v>
      </c>
      <c r="C213" s="36" t="s">
        <v>684</v>
      </c>
      <c r="D213" s="61"/>
      <c r="E213" s="61"/>
      <c r="F213" s="17"/>
      <c r="G213" s="17" t="s">
        <v>9</v>
      </c>
      <c r="H213" s="38"/>
      <c r="I213" s="38"/>
      <c r="J213" s="38" t="s">
        <v>604</v>
      </c>
      <c r="K213" s="38" t="s">
        <v>685</v>
      </c>
      <c r="L213" s="38" t="s">
        <v>686</v>
      </c>
      <c r="M213" s="38"/>
      <c r="N213" s="44" t="s">
        <v>23</v>
      </c>
      <c r="O213" s="59"/>
    </row>
    <row r="214">
      <c r="A214" s="17">
        <f t="shared" si="2"/>
        <v>212</v>
      </c>
      <c r="B214" s="42" t="s">
        <v>573</v>
      </c>
      <c r="C214" s="61" t="s">
        <v>405</v>
      </c>
      <c r="D214" s="61"/>
      <c r="E214" s="61"/>
      <c r="F214" s="17"/>
      <c r="G214" s="17" t="s">
        <v>9</v>
      </c>
      <c r="H214" s="38"/>
      <c r="I214" s="38"/>
      <c r="J214" s="38" t="s">
        <v>604</v>
      </c>
      <c r="K214" s="38" t="s">
        <v>687</v>
      </c>
      <c r="L214" s="38" t="s">
        <v>688</v>
      </c>
      <c r="M214" s="38"/>
      <c r="N214" s="44" t="s">
        <v>23</v>
      </c>
      <c r="O214" s="59"/>
      <c r="P214" s="70"/>
      <c r="S214" s="1"/>
      <c r="T214" s="64"/>
    </row>
    <row r="215" hidden="1">
      <c r="A215" s="17">
        <f t="shared" si="2"/>
        <v>213</v>
      </c>
      <c r="B215" s="72" t="s">
        <v>689</v>
      </c>
      <c r="C215" s="36" t="s">
        <v>65</v>
      </c>
      <c r="D215" s="36"/>
      <c r="E215" s="36"/>
      <c r="F215" s="17"/>
      <c r="G215" s="17" t="s">
        <v>2</v>
      </c>
      <c r="H215" s="38"/>
      <c r="I215" s="38" t="s">
        <v>690</v>
      </c>
      <c r="J215" s="38" t="s">
        <v>691</v>
      </c>
      <c r="K215" s="38" t="s">
        <v>692</v>
      </c>
      <c r="L215" s="38" t="s">
        <v>693</v>
      </c>
      <c r="M215" s="38"/>
      <c r="N215" s="44" t="s">
        <v>23</v>
      </c>
      <c r="O215" s="13"/>
      <c r="P215" s="40" t="str">
        <f t="shared" ref="P215:P415" si="3">IF(ISNUMBER(SEARCH("Auto",M215)),"〇","×")</f>
        <v>×</v>
      </c>
      <c r="Q215" s="33" t="s">
        <v>59</v>
      </c>
      <c r="S215" s="41"/>
      <c r="T215" s="50"/>
    </row>
    <row r="216" hidden="1">
      <c r="A216" s="17">
        <f t="shared" si="2"/>
        <v>214</v>
      </c>
      <c r="B216" s="42" t="s">
        <v>689</v>
      </c>
      <c r="C216" s="73" t="s">
        <v>65</v>
      </c>
      <c r="D216" s="36" t="s">
        <v>152</v>
      </c>
      <c r="E216" s="36"/>
      <c r="F216" s="17"/>
      <c r="G216" s="17" t="s">
        <v>2</v>
      </c>
      <c r="H216" s="38"/>
      <c r="I216" s="38"/>
      <c r="J216" s="38" t="s">
        <v>66</v>
      </c>
      <c r="K216" s="38" t="s">
        <v>153</v>
      </c>
      <c r="L216" s="38" t="s">
        <v>154</v>
      </c>
      <c r="M216" s="38"/>
      <c r="N216" s="44" t="s">
        <v>23</v>
      </c>
      <c r="O216" s="13"/>
      <c r="P216" s="40" t="str">
        <f t="shared" si="3"/>
        <v>×</v>
      </c>
      <c r="Q216" s="33" t="s">
        <v>59</v>
      </c>
      <c r="S216" s="33"/>
      <c r="T216" s="33"/>
    </row>
    <row r="217" hidden="1">
      <c r="A217" s="17">
        <f t="shared" si="2"/>
        <v>215</v>
      </c>
      <c r="B217" s="42" t="s">
        <v>689</v>
      </c>
      <c r="C217" s="73" t="s">
        <v>65</v>
      </c>
      <c r="D217" s="36" t="s">
        <v>694</v>
      </c>
      <c r="E217" s="36"/>
      <c r="F217" s="17"/>
      <c r="G217" s="17" t="s">
        <v>2</v>
      </c>
      <c r="H217" s="38"/>
      <c r="I217" s="38"/>
      <c r="J217" s="38" t="s">
        <v>66</v>
      </c>
      <c r="K217" s="38" t="s">
        <v>695</v>
      </c>
      <c r="L217" s="38" t="s">
        <v>228</v>
      </c>
      <c r="M217" s="38"/>
      <c r="N217" s="44" t="s">
        <v>23</v>
      </c>
      <c r="O217" s="13"/>
      <c r="P217" s="40" t="str">
        <f t="shared" si="3"/>
        <v>×</v>
      </c>
      <c r="Q217" s="33" t="s">
        <v>59</v>
      </c>
      <c r="S217" s="33"/>
      <c r="T217" s="33"/>
    </row>
    <row r="218" hidden="1">
      <c r="A218" s="17">
        <f t="shared" si="2"/>
        <v>216</v>
      </c>
      <c r="B218" s="42" t="s">
        <v>689</v>
      </c>
      <c r="C218" s="72" t="s">
        <v>696</v>
      </c>
      <c r="D218" s="36" t="s">
        <v>65</v>
      </c>
      <c r="E218" s="36"/>
      <c r="F218" s="17"/>
      <c r="G218" s="17" t="s">
        <v>2</v>
      </c>
      <c r="H218" s="38"/>
      <c r="I218" s="38" t="s">
        <v>697</v>
      </c>
      <c r="J218" s="38" t="s">
        <v>691</v>
      </c>
      <c r="K218" s="38" t="s">
        <v>698</v>
      </c>
      <c r="L218" s="38" t="s">
        <v>699</v>
      </c>
      <c r="M218" s="38"/>
      <c r="N218" s="44" t="s">
        <v>23</v>
      </c>
      <c r="O218" s="39"/>
      <c r="P218" s="40" t="str">
        <f t="shared" si="3"/>
        <v>×</v>
      </c>
      <c r="Q218" s="33" t="s">
        <v>59</v>
      </c>
      <c r="S218" s="33"/>
      <c r="T218" s="33"/>
    </row>
    <row r="219" hidden="1">
      <c r="A219" s="17">
        <f t="shared" si="2"/>
        <v>217</v>
      </c>
      <c r="B219" s="42" t="s">
        <v>689</v>
      </c>
      <c r="C219" s="42" t="s">
        <v>696</v>
      </c>
      <c r="D219" s="36" t="s">
        <v>700</v>
      </c>
      <c r="E219" s="36"/>
      <c r="F219" s="17"/>
      <c r="G219" s="17" t="s">
        <v>7</v>
      </c>
      <c r="H219" s="38"/>
      <c r="I219" s="38"/>
      <c r="J219" s="38" t="s">
        <v>691</v>
      </c>
      <c r="K219" s="38" t="s">
        <v>701</v>
      </c>
      <c r="L219" s="38" t="s">
        <v>702</v>
      </c>
      <c r="M219" s="38"/>
      <c r="N219" s="44" t="s">
        <v>23</v>
      </c>
      <c r="O219" s="13"/>
      <c r="P219" s="40" t="str">
        <f t="shared" si="3"/>
        <v>×</v>
      </c>
      <c r="Q219" s="33" t="s">
        <v>59</v>
      </c>
      <c r="S219" s="33"/>
      <c r="T219" s="33"/>
    </row>
    <row r="220" hidden="1">
      <c r="A220" s="17">
        <f t="shared" si="2"/>
        <v>218</v>
      </c>
      <c r="B220" s="42" t="s">
        <v>689</v>
      </c>
      <c r="C220" s="42" t="s">
        <v>696</v>
      </c>
      <c r="D220" s="36" t="s">
        <v>703</v>
      </c>
      <c r="E220" s="36"/>
      <c r="F220" s="17"/>
      <c r="G220" s="17" t="s">
        <v>7</v>
      </c>
      <c r="H220" s="38"/>
      <c r="I220" s="38"/>
      <c r="J220" s="17" t="s">
        <v>66</v>
      </c>
      <c r="K220" s="38" t="s">
        <v>704</v>
      </c>
      <c r="L220" s="38" t="s">
        <v>705</v>
      </c>
      <c r="M220" s="38"/>
      <c r="N220" s="44" t="s">
        <v>23</v>
      </c>
      <c r="O220" s="39"/>
      <c r="P220" s="40" t="str">
        <f t="shared" si="3"/>
        <v>×</v>
      </c>
      <c r="Q220" s="33" t="s">
        <v>59</v>
      </c>
      <c r="S220" s="33"/>
      <c r="T220" s="33"/>
    </row>
    <row r="221" hidden="1">
      <c r="A221" s="17">
        <f t="shared" si="2"/>
        <v>219</v>
      </c>
      <c r="B221" s="42" t="s">
        <v>689</v>
      </c>
      <c r="C221" s="42" t="s">
        <v>696</v>
      </c>
      <c r="D221" s="36" t="s">
        <v>706</v>
      </c>
      <c r="E221" s="36"/>
      <c r="F221" s="17"/>
      <c r="G221" s="17" t="s">
        <v>8</v>
      </c>
      <c r="H221" s="38"/>
      <c r="I221" s="38"/>
      <c r="J221" s="17" t="s">
        <v>66</v>
      </c>
      <c r="K221" s="38" t="s">
        <v>707</v>
      </c>
      <c r="L221" s="38" t="s">
        <v>708</v>
      </c>
      <c r="M221" s="38"/>
      <c r="N221" s="44" t="s">
        <v>23</v>
      </c>
      <c r="O221" s="39"/>
      <c r="P221" s="40" t="str">
        <f t="shared" si="3"/>
        <v>×</v>
      </c>
      <c r="Q221" s="33" t="s">
        <v>59</v>
      </c>
      <c r="S221" s="33"/>
      <c r="T221" s="50"/>
    </row>
    <row r="222" hidden="1">
      <c r="A222" s="17">
        <f t="shared" si="2"/>
        <v>220</v>
      </c>
      <c r="B222" s="42" t="s">
        <v>689</v>
      </c>
      <c r="C222" s="34" t="s">
        <v>709</v>
      </c>
      <c r="D222" s="36"/>
      <c r="E222" s="36"/>
      <c r="F222" s="17"/>
      <c r="G222" s="17" t="s">
        <v>2</v>
      </c>
      <c r="H222" s="38"/>
      <c r="I222" s="38"/>
      <c r="J222" s="38" t="s">
        <v>710</v>
      </c>
      <c r="K222" s="38" t="s">
        <v>711</v>
      </c>
      <c r="L222" s="38" t="s">
        <v>712</v>
      </c>
      <c r="M222" s="38"/>
      <c r="N222" s="44" t="s">
        <v>23</v>
      </c>
      <c r="O222" s="13"/>
      <c r="P222" s="40" t="str">
        <f t="shared" si="3"/>
        <v>×</v>
      </c>
      <c r="Q222" s="33" t="s">
        <v>59</v>
      </c>
      <c r="S222" s="33"/>
      <c r="T222" s="74"/>
    </row>
    <row r="223" hidden="1">
      <c r="A223" s="17">
        <f t="shared" si="2"/>
        <v>221</v>
      </c>
      <c r="B223" s="42" t="s">
        <v>689</v>
      </c>
      <c r="C223" s="34" t="s">
        <v>713</v>
      </c>
      <c r="D223" s="36" t="s">
        <v>714</v>
      </c>
      <c r="E223" s="36"/>
      <c r="F223" s="17"/>
      <c r="G223" s="17" t="s">
        <v>2</v>
      </c>
      <c r="H223" s="38" t="s">
        <v>463</v>
      </c>
      <c r="I223" s="38" t="s">
        <v>715</v>
      </c>
      <c r="J223" s="38" t="s">
        <v>691</v>
      </c>
      <c r="K223" s="38" t="s">
        <v>716</v>
      </c>
      <c r="L223" s="38" t="s">
        <v>717</v>
      </c>
      <c r="M223" s="38"/>
      <c r="N223" s="44" t="s">
        <v>23</v>
      </c>
      <c r="O223" s="13"/>
      <c r="P223" s="40" t="str">
        <f t="shared" si="3"/>
        <v>×</v>
      </c>
      <c r="Q223" s="41" t="s">
        <v>59</v>
      </c>
      <c r="S223" s="33"/>
      <c r="T223" s="33" t="s">
        <v>45</v>
      </c>
    </row>
    <row r="224" hidden="1">
      <c r="A224" s="17">
        <f t="shared" si="2"/>
        <v>222</v>
      </c>
      <c r="B224" s="42" t="s">
        <v>689</v>
      </c>
      <c r="C224" s="42" t="s">
        <v>713</v>
      </c>
      <c r="D224" s="36" t="s">
        <v>718</v>
      </c>
      <c r="E224" s="36"/>
      <c r="F224" s="17"/>
      <c r="G224" s="17" t="s">
        <v>2</v>
      </c>
      <c r="H224" s="38"/>
      <c r="I224" s="38" t="s">
        <v>719</v>
      </c>
      <c r="J224" s="38" t="s">
        <v>691</v>
      </c>
      <c r="K224" s="38" t="s">
        <v>720</v>
      </c>
      <c r="L224" s="38" t="s">
        <v>721</v>
      </c>
      <c r="M224" s="38"/>
      <c r="N224" s="44" t="s">
        <v>23</v>
      </c>
      <c r="O224" s="13"/>
      <c r="P224" s="40" t="str">
        <f t="shared" si="3"/>
        <v>×</v>
      </c>
      <c r="Q224" s="33" t="s">
        <v>59</v>
      </c>
      <c r="S224" s="33"/>
      <c r="T224" s="74"/>
    </row>
    <row r="225" hidden="1">
      <c r="A225" s="17">
        <f t="shared" si="2"/>
        <v>223</v>
      </c>
      <c r="B225" s="42" t="s">
        <v>689</v>
      </c>
      <c r="C225" s="36" t="s">
        <v>722</v>
      </c>
      <c r="D225" s="36"/>
      <c r="E225" s="36"/>
      <c r="F225" s="17"/>
      <c r="G225" s="17" t="s">
        <v>2</v>
      </c>
      <c r="H225" s="38"/>
      <c r="I225" s="38"/>
      <c r="J225" s="38" t="s">
        <v>691</v>
      </c>
      <c r="K225" s="38" t="s">
        <v>723</v>
      </c>
      <c r="L225" s="38" t="s">
        <v>724</v>
      </c>
      <c r="M225" s="38"/>
      <c r="N225" s="17" t="s">
        <v>43</v>
      </c>
      <c r="O225" s="39" t="s">
        <v>725</v>
      </c>
      <c r="P225" s="40" t="str">
        <f t="shared" si="3"/>
        <v>×</v>
      </c>
      <c r="Q225" s="33" t="s">
        <v>59</v>
      </c>
      <c r="S225" s="33"/>
      <c r="T225" s="33"/>
    </row>
    <row r="226" hidden="1">
      <c r="A226" s="17">
        <f t="shared" si="2"/>
        <v>224</v>
      </c>
      <c r="B226" s="42" t="s">
        <v>689</v>
      </c>
      <c r="C226" s="36" t="s">
        <v>726</v>
      </c>
      <c r="D226" s="36" t="s">
        <v>727</v>
      </c>
      <c r="E226" s="36"/>
      <c r="F226" s="17"/>
      <c r="G226" s="17" t="s">
        <v>2</v>
      </c>
      <c r="H226" s="38"/>
      <c r="I226" s="38"/>
      <c r="J226" s="38" t="s">
        <v>691</v>
      </c>
      <c r="K226" s="38" t="s">
        <v>728</v>
      </c>
      <c r="L226" s="38" t="s">
        <v>729</v>
      </c>
      <c r="M226" s="38"/>
      <c r="N226" s="44" t="s">
        <v>23</v>
      </c>
      <c r="O226" s="39"/>
      <c r="P226" s="40" t="str">
        <f t="shared" si="3"/>
        <v>×</v>
      </c>
      <c r="Q226" s="33" t="s">
        <v>59</v>
      </c>
      <c r="S226" s="33"/>
      <c r="T226" s="33"/>
    </row>
    <row r="227" hidden="1">
      <c r="A227" s="17">
        <f t="shared" si="2"/>
        <v>225</v>
      </c>
      <c r="B227" s="42" t="s">
        <v>689</v>
      </c>
      <c r="C227" s="42" t="s">
        <v>726</v>
      </c>
      <c r="D227" s="36" t="s">
        <v>730</v>
      </c>
      <c r="E227" s="36"/>
      <c r="F227" s="17"/>
      <c r="G227" s="17" t="s">
        <v>2</v>
      </c>
      <c r="H227" s="38"/>
      <c r="I227" s="38" t="s">
        <v>731</v>
      </c>
      <c r="J227" s="38" t="s">
        <v>66</v>
      </c>
      <c r="K227" s="38" t="s">
        <v>732</v>
      </c>
      <c r="L227" s="38" t="s">
        <v>733</v>
      </c>
      <c r="M227" s="38"/>
      <c r="N227" s="44" t="s">
        <v>23</v>
      </c>
      <c r="O227" s="39"/>
      <c r="P227" s="40" t="str">
        <f t="shared" si="3"/>
        <v>×</v>
      </c>
      <c r="Q227" s="33" t="s">
        <v>59</v>
      </c>
      <c r="S227" s="33"/>
      <c r="T227" s="33"/>
    </row>
    <row r="228" hidden="1">
      <c r="A228" s="17">
        <f t="shared" si="2"/>
        <v>226</v>
      </c>
      <c r="B228" s="42" t="s">
        <v>689</v>
      </c>
      <c r="C228" s="42" t="s">
        <v>726</v>
      </c>
      <c r="D228" s="36" t="s">
        <v>734</v>
      </c>
      <c r="E228" s="36"/>
      <c r="F228" s="17"/>
      <c r="G228" s="17" t="s">
        <v>2</v>
      </c>
      <c r="H228" s="38"/>
      <c r="I228" s="38"/>
      <c r="J228" s="38" t="s">
        <v>66</v>
      </c>
      <c r="K228" s="38" t="s">
        <v>735</v>
      </c>
      <c r="L228" s="38" t="s">
        <v>736</v>
      </c>
      <c r="M228" s="38"/>
      <c r="N228" s="44" t="s">
        <v>23</v>
      </c>
      <c r="O228" s="39"/>
      <c r="P228" s="40" t="str">
        <f t="shared" si="3"/>
        <v>×</v>
      </c>
      <c r="Q228" s="33" t="s">
        <v>59</v>
      </c>
      <c r="S228" s="33"/>
      <c r="T228" s="33"/>
    </row>
    <row r="229" hidden="1">
      <c r="A229" s="17">
        <f t="shared" si="2"/>
        <v>227</v>
      </c>
      <c r="B229" s="42" t="s">
        <v>689</v>
      </c>
      <c r="C229" s="42" t="s">
        <v>726</v>
      </c>
      <c r="D229" s="36" t="s">
        <v>737</v>
      </c>
      <c r="E229" s="36"/>
      <c r="F229" s="17"/>
      <c r="G229" s="17" t="s">
        <v>2</v>
      </c>
      <c r="H229" s="38"/>
      <c r="I229" s="38"/>
      <c r="J229" s="38" t="s">
        <v>66</v>
      </c>
      <c r="K229" s="38" t="s">
        <v>738</v>
      </c>
      <c r="L229" s="38" t="s">
        <v>739</v>
      </c>
      <c r="M229" s="38"/>
      <c r="N229" s="44" t="s">
        <v>23</v>
      </c>
      <c r="O229" s="39"/>
      <c r="P229" s="40" t="str">
        <f t="shared" si="3"/>
        <v>×</v>
      </c>
      <c r="Q229" s="33" t="s">
        <v>59</v>
      </c>
      <c r="S229" s="33"/>
      <c r="T229" s="33"/>
    </row>
    <row r="230" hidden="1">
      <c r="A230" s="17">
        <f t="shared" si="2"/>
        <v>228</v>
      </c>
      <c r="B230" s="42" t="s">
        <v>689</v>
      </c>
      <c r="C230" s="36" t="s">
        <v>187</v>
      </c>
      <c r="D230" s="36"/>
      <c r="E230" s="36"/>
      <c r="F230" s="17"/>
      <c r="G230" s="17" t="s">
        <v>7</v>
      </c>
      <c r="H230" s="38"/>
      <c r="I230" s="38"/>
      <c r="J230" s="38" t="s">
        <v>691</v>
      </c>
      <c r="K230" s="38" t="s">
        <v>188</v>
      </c>
      <c r="L230" s="38" t="s">
        <v>740</v>
      </c>
      <c r="M230" s="38"/>
      <c r="N230" s="44" t="s">
        <v>23</v>
      </c>
      <c r="O230" s="39"/>
      <c r="P230" s="40" t="str">
        <f t="shared" si="3"/>
        <v>×</v>
      </c>
      <c r="Q230" s="33" t="s">
        <v>59</v>
      </c>
      <c r="S230" s="33"/>
      <c r="T230" s="33"/>
    </row>
    <row r="231" hidden="1">
      <c r="A231" s="17">
        <f t="shared" si="2"/>
        <v>229</v>
      </c>
      <c r="B231" s="42" t="s">
        <v>689</v>
      </c>
      <c r="C231" s="36" t="s">
        <v>741</v>
      </c>
      <c r="D231" s="36"/>
      <c r="E231" s="36"/>
      <c r="F231" s="17"/>
      <c r="G231" s="17" t="s">
        <v>2</v>
      </c>
      <c r="H231" s="38"/>
      <c r="I231" s="38"/>
      <c r="J231" s="38" t="s">
        <v>691</v>
      </c>
      <c r="K231" s="38" t="s">
        <v>742</v>
      </c>
      <c r="L231" s="38" t="s">
        <v>743</v>
      </c>
      <c r="M231" s="38"/>
      <c r="N231" s="44" t="s">
        <v>23</v>
      </c>
      <c r="O231" s="39"/>
      <c r="P231" s="40" t="str">
        <f t="shared" si="3"/>
        <v>×</v>
      </c>
      <c r="Q231" s="33" t="s">
        <v>59</v>
      </c>
      <c r="S231" s="33"/>
      <c r="T231" s="33"/>
    </row>
    <row r="232" hidden="1">
      <c r="A232" s="17">
        <f t="shared" si="2"/>
        <v>230</v>
      </c>
      <c r="B232" s="42" t="s">
        <v>689</v>
      </c>
      <c r="C232" s="36" t="s">
        <v>155</v>
      </c>
      <c r="D232" s="36" t="s">
        <v>580</v>
      </c>
      <c r="E232" s="36"/>
      <c r="F232" s="17"/>
      <c r="G232" s="17" t="s">
        <v>7</v>
      </c>
      <c r="H232" s="38"/>
      <c r="I232" s="38"/>
      <c r="J232" s="38" t="s">
        <v>744</v>
      </c>
      <c r="K232" s="38" t="s">
        <v>581</v>
      </c>
      <c r="L232" s="38" t="s">
        <v>582</v>
      </c>
      <c r="M232" s="38"/>
      <c r="N232" s="44" t="s">
        <v>23</v>
      </c>
      <c r="O232" s="39"/>
      <c r="P232" s="40" t="str">
        <f t="shared" si="3"/>
        <v>×</v>
      </c>
      <c r="Q232" s="33" t="s">
        <v>59</v>
      </c>
      <c r="S232" s="33"/>
      <c r="T232" s="33"/>
    </row>
    <row r="233" hidden="1">
      <c r="A233" s="17">
        <f t="shared" si="2"/>
        <v>231</v>
      </c>
      <c r="B233" s="42" t="s">
        <v>689</v>
      </c>
      <c r="C233" s="45" t="s">
        <v>155</v>
      </c>
      <c r="D233" s="36" t="s">
        <v>583</v>
      </c>
      <c r="E233" s="36"/>
      <c r="F233" s="17"/>
      <c r="G233" s="17" t="s">
        <v>7</v>
      </c>
      <c r="H233" s="38"/>
      <c r="I233" s="38"/>
      <c r="J233" s="38" t="s">
        <v>66</v>
      </c>
      <c r="K233" s="38" t="s">
        <v>584</v>
      </c>
      <c r="L233" s="38" t="s">
        <v>585</v>
      </c>
      <c r="M233" s="38"/>
      <c r="N233" s="44" t="s">
        <v>23</v>
      </c>
      <c r="O233" s="39"/>
      <c r="P233" s="40" t="str">
        <f t="shared" si="3"/>
        <v>×</v>
      </c>
      <c r="Q233" s="33" t="s">
        <v>59</v>
      </c>
      <c r="S233" s="33"/>
      <c r="T233" s="33"/>
    </row>
    <row r="234" hidden="1">
      <c r="A234" s="17">
        <f t="shared" si="2"/>
        <v>232</v>
      </c>
      <c r="B234" s="42" t="s">
        <v>689</v>
      </c>
      <c r="C234" s="45" t="s">
        <v>155</v>
      </c>
      <c r="D234" s="36" t="s">
        <v>586</v>
      </c>
      <c r="E234" s="36"/>
      <c r="F234" s="17"/>
      <c r="G234" s="17" t="s">
        <v>7</v>
      </c>
      <c r="H234" s="38"/>
      <c r="I234" s="38"/>
      <c r="J234" s="38" t="s">
        <v>66</v>
      </c>
      <c r="K234" s="38" t="s">
        <v>587</v>
      </c>
      <c r="L234" s="38" t="s">
        <v>588</v>
      </c>
      <c r="M234" s="38"/>
      <c r="N234" s="44" t="s">
        <v>23</v>
      </c>
      <c r="O234" s="39"/>
      <c r="P234" s="40" t="str">
        <f t="shared" si="3"/>
        <v>×</v>
      </c>
      <c r="Q234" s="33" t="s">
        <v>59</v>
      </c>
      <c r="S234" s="33"/>
      <c r="T234" s="33"/>
    </row>
    <row r="235" hidden="1">
      <c r="A235" s="17">
        <f t="shared" si="2"/>
        <v>233</v>
      </c>
      <c r="B235" s="42" t="s">
        <v>689</v>
      </c>
      <c r="C235" s="36" t="s">
        <v>589</v>
      </c>
      <c r="D235" s="36"/>
      <c r="E235" s="36"/>
      <c r="F235" s="17"/>
      <c r="G235" s="17" t="s">
        <v>7</v>
      </c>
      <c r="H235" s="38"/>
      <c r="I235" s="38"/>
      <c r="J235" s="38" t="s">
        <v>744</v>
      </c>
      <c r="K235" s="38" t="s">
        <v>590</v>
      </c>
      <c r="L235" s="38" t="s">
        <v>591</v>
      </c>
      <c r="M235" s="38"/>
      <c r="N235" s="44" t="s">
        <v>23</v>
      </c>
      <c r="O235" s="39"/>
      <c r="P235" s="40" t="str">
        <f t="shared" si="3"/>
        <v>×</v>
      </c>
      <c r="Q235" s="33" t="s">
        <v>59</v>
      </c>
      <c r="S235" s="33"/>
      <c r="T235" s="33"/>
    </row>
    <row r="236" hidden="1">
      <c r="A236" s="17">
        <f t="shared" si="2"/>
        <v>234</v>
      </c>
      <c r="B236" s="42" t="s">
        <v>689</v>
      </c>
      <c r="C236" s="45" t="s">
        <v>589</v>
      </c>
      <c r="D236" s="36" t="s">
        <v>586</v>
      </c>
      <c r="E236" s="36"/>
      <c r="F236" s="17"/>
      <c r="G236" s="17" t="s">
        <v>7</v>
      </c>
      <c r="H236" s="38"/>
      <c r="I236" s="38"/>
      <c r="J236" s="38" t="s">
        <v>66</v>
      </c>
      <c r="K236" s="38" t="s">
        <v>592</v>
      </c>
      <c r="L236" s="38" t="s">
        <v>593</v>
      </c>
      <c r="M236" s="38"/>
      <c r="N236" s="44" t="s">
        <v>23</v>
      </c>
      <c r="O236" s="39"/>
      <c r="P236" s="40" t="str">
        <f t="shared" si="3"/>
        <v>×</v>
      </c>
      <c r="Q236" s="33" t="s">
        <v>59</v>
      </c>
      <c r="S236" s="33"/>
      <c r="T236" s="33"/>
    </row>
    <row r="237" hidden="1">
      <c r="A237" s="17">
        <f t="shared" si="2"/>
        <v>235</v>
      </c>
      <c r="B237" s="42" t="s">
        <v>689</v>
      </c>
      <c r="C237" s="36" t="s">
        <v>594</v>
      </c>
      <c r="D237" s="36" t="s">
        <v>81</v>
      </c>
      <c r="E237" s="36"/>
      <c r="F237" s="17"/>
      <c r="G237" s="17" t="s">
        <v>2</v>
      </c>
      <c r="H237" s="38"/>
      <c r="I237" s="38"/>
      <c r="J237" s="38" t="s">
        <v>691</v>
      </c>
      <c r="K237" s="38" t="s">
        <v>595</v>
      </c>
      <c r="L237" s="38" t="s">
        <v>596</v>
      </c>
      <c r="M237" s="38"/>
      <c r="N237" s="44" t="s">
        <v>23</v>
      </c>
      <c r="O237" s="39"/>
      <c r="P237" s="40" t="str">
        <f t="shared" si="3"/>
        <v>×</v>
      </c>
      <c r="Q237" s="33" t="s">
        <v>59</v>
      </c>
      <c r="S237" s="33"/>
      <c r="T237" s="33"/>
    </row>
    <row r="238" hidden="1">
      <c r="A238" s="17">
        <f t="shared" si="2"/>
        <v>236</v>
      </c>
      <c r="B238" s="42" t="s">
        <v>689</v>
      </c>
      <c r="C238" s="45" t="s">
        <v>594</v>
      </c>
      <c r="D238" s="36" t="s">
        <v>85</v>
      </c>
      <c r="E238" s="36"/>
      <c r="F238" s="17"/>
      <c r="G238" s="17" t="s">
        <v>2</v>
      </c>
      <c r="H238" s="38"/>
      <c r="I238" s="38"/>
      <c r="J238" s="38" t="s">
        <v>691</v>
      </c>
      <c r="K238" s="38" t="s">
        <v>597</v>
      </c>
      <c r="L238" s="38" t="s">
        <v>598</v>
      </c>
      <c r="M238" s="38"/>
      <c r="N238" s="44" t="s">
        <v>23</v>
      </c>
      <c r="O238" s="39"/>
      <c r="P238" s="40" t="str">
        <f t="shared" si="3"/>
        <v>×</v>
      </c>
      <c r="Q238" s="33" t="s">
        <v>59</v>
      </c>
      <c r="S238" s="33"/>
      <c r="T238" s="33"/>
    </row>
    <row r="239" hidden="1">
      <c r="A239" s="17">
        <f t="shared" si="2"/>
        <v>237</v>
      </c>
      <c r="B239" s="42" t="s">
        <v>689</v>
      </c>
      <c r="C239" s="34" t="s">
        <v>602</v>
      </c>
      <c r="D239" s="36" t="s">
        <v>603</v>
      </c>
      <c r="E239" s="36"/>
      <c r="F239" s="17"/>
      <c r="G239" s="17" t="s">
        <v>2</v>
      </c>
      <c r="H239" s="38"/>
      <c r="I239" s="38"/>
      <c r="J239" s="38" t="s">
        <v>691</v>
      </c>
      <c r="K239" s="38" t="s">
        <v>745</v>
      </c>
      <c r="L239" s="38" t="s">
        <v>606</v>
      </c>
      <c r="M239" s="38"/>
      <c r="N239" s="44" t="s">
        <v>23</v>
      </c>
      <c r="O239" s="13"/>
      <c r="P239" s="40" t="str">
        <f t="shared" si="3"/>
        <v>×</v>
      </c>
      <c r="Q239" s="33" t="s">
        <v>59</v>
      </c>
      <c r="S239" s="33"/>
      <c r="T239" s="33"/>
    </row>
    <row r="240" hidden="1">
      <c r="A240" s="17">
        <f t="shared" si="2"/>
        <v>238</v>
      </c>
      <c r="B240" s="42" t="s">
        <v>689</v>
      </c>
      <c r="C240" s="42" t="s">
        <v>602</v>
      </c>
      <c r="D240" s="34" t="s">
        <v>504</v>
      </c>
      <c r="E240" s="36" t="s">
        <v>89</v>
      </c>
      <c r="F240" s="17"/>
      <c r="G240" s="17" t="s">
        <v>2</v>
      </c>
      <c r="H240" s="38" t="s">
        <v>607</v>
      </c>
      <c r="I240" s="38"/>
      <c r="J240" s="17" t="s">
        <v>66</v>
      </c>
      <c r="K240" s="38" t="s">
        <v>608</v>
      </c>
      <c r="L240" s="38" t="s">
        <v>91</v>
      </c>
      <c r="M240" s="38"/>
      <c r="N240" s="44" t="s">
        <v>23</v>
      </c>
      <c r="O240" s="13"/>
      <c r="P240" s="40" t="str">
        <f t="shared" si="3"/>
        <v>×</v>
      </c>
      <c r="Q240" s="33" t="s">
        <v>59</v>
      </c>
      <c r="S240" s="33"/>
      <c r="T240" s="33"/>
    </row>
    <row r="241" hidden="1">
      <c r="A241" s="17">
        <f t="shared" si="2"/>
        <v>239</v>
      </c>
      <c r="B241" s="42" t="s">
        <v>689</v>
      </c>
      <c r="C241" s="42" t="s">
        <v>602</v>
      </c>
      <c r="D241" s="42" t="s">
        <v>504</v>
      </c>
      <c r="E241" s="36" t="s">
        <v>92</v>
      </c>
      <c r="F241" s="17"/>
      <c r="G241" s="17" t="s">
        <v>2</v>
      </c>
      <c r="H241" s="38"/>
      <c r="I241" s="38"/>
      <c r="J241" s="38" t="s">
        <v>66</v>
      </c>
      <c r="K241" s="38" t="s">
        <v>93</v>
      </c>
      <c r="L241" s="38" t="s">
        <v>94</v>
      </c>
      <c r="M241" s="38"/>
      <c r="N241" s="44" t="s">
        <v>23</v>
      </c>
      <c r="O241" s="13"/>
      <c r="P241" s="40" t="str">
        <f t="shared" si="3"/>
        <v>×</v>
      </c>
      <c r="Q241" s="33" t="s">
        <v>59</v>
      </c>
      <c r="S241" s="33"/>
      <c r="T241" s="50"/>
    </row>
    <row r="242" hidden="1">
      <c r="A242" s="17">
        <f t="shared" si="2"/>
        <v>240</v>
      </c>
      <c r="B242" s="42" t="s">
        <v>689</v>
      </c>
      <c r="C242" s="42" t="s">
        <v>602</v>
      </c>
      <c r="D242" s="34" t="s">
        <v>609</v>
      </c>
      <c r="E242" s="36" t="s">
        <v>60</v>
      </c>
      <c r="F242" s="17"/>
      <c r="G242" s="17" t="s">
        <v>2</v>
      </c>
      <c r="H242" s="38" t="s">
        <v>463</v>
      </c>
      <c r="I242" s="38"/>
      <c r="J242" s="38" t="s">
        <v>66</v>
      </c>
      <c r="K242" s="38" t="s">
        <v>610</v>
      </c>
      <c r="L242" s="38" t="s">
        <v>611</v>
      </c>
      <c r="M242" s="38"/>
      <c r="N242" s="44" t="s">
        <v>23</v>
      </c>
      <c r="O242" s="13"/>
      <c r="P242" s="40" t="str">
        <f t="shared" si="3"/>
        <v>×</v>
      </c>
      <c r="Q242" s="33" t="s">
        <v>59</v>
      </c>
      <c r="S242" s="33"/>
      <c r="T242" s="50"/>
    </row>
    <row r="243" hidden="1">
      <c r="A243" s="17">
        <f t="shared" si="2"/>
        <v>241</v>
      </c>
      <c r="B243" s="42" t="s">
        <v>689</v>
      </c>
      <c r="C243" s="42" t="s">
        <v>602</v>
      </c>
      <c r="D243" s="42" t="s">
        <v>609</v>
      </c>
      <c r="E243" s="36" t="s">
        <v>612</v>
      </c>
      <c r="F243" s="17"/>
      <c r="G243" s="17" t="s">
        <v>2</v>
      </c>
      <c r="H243" s="17"/>
      <c r="I243" s="17"/>
      <c r="J243" s="38" t="s">
        <v>66</v>
      </c>
      <c r="K243" s="38" t="s">
        <v>613</v>
      </c>
      <c r="L243" s="38" t="s">
        <v>614</v>
      </c>
      <c r="M243" s="38"/>
      <c r="N243" s="44" t="s">
        <v>23</v>
      </c>
      <c r="O243" s="13"/>
      <c r="P243" s="40" t="str">
        <f t="shared" si="3"/>
        <v>×</v>
      </c>
      <c r="Q243" s="33" t="s">
        <v>59</v>
      </c>
      <c r="S243" s="33"/>
      <c r="T243" s="50"/>
    </row>
    <row r="244" hidden="1">
      <c r="A244" s="17">
        <f t="shared" si="2"/>
        <v>242</v>
      </c>
      <c r="B244" s="42" t="s">
        <v>689</v>
      </c>
      <c r="C244" s="34" t="s">
        <v>615</v>
      </c>
      <c r="D244" s="34" t="s">
        <v>504</v>
      </c>
      <c r="E244" s="36" t="s">
        <v>89</v>
      </c>
      <c r="F244" s="38" t="s">
        <v>616</v>
      </c>
      <c r="G244" s="17" t="s">
        <v>2</v>
      </c>
      <c r="H244" s="38" t="s">
        <v>607</v>
      </c>
      <c r="I244" s="46"/>
      <c r="J244" s="17" t="s">
        <v>66</v>
      </c>
      <c r="K244" s="38" t="s">
        <v>617</v>
      </c>
      <c r="L244" s="38" t="s">
        <v>91</v>
      </c>
      <c r="M244" s="38"/>
      <c r="N244" s="44" t="s">
        <v>23</v>
      </c>
      <c r="O244" s="13"/>
      <c r="P244" s="40" t="str">
        <f t="shared" si="3"/>
        <v>×</v>
      </c>
      <c r="Q244" s="33" t="s">
        <v>59</v>
      </c>
      <c r="S244" s="33"/>
      <c r="T244" s="33"/>
    </row>
    <row r="245" hidden="1">
      <c r="A245" s="17">
        <f t="shared" si="2"/>
        <v>243</v>
      </c>
      <c r="B245" s="42" t="s">
        <v>689</v>
      </c>
      <c r="C245" s="42" t="s">
        <v>615</v>
      </c>
      <c r="D245" s="42" t="s">
        <v>504</v>
      </c>
      <c r="E245" s="36" t="s">
        <v>92</v>
      </c>
      <c r="F245" s="17"/>
      <c r="G245" s="17" t="s">
        <v>2</v>
      </c>
      <c r="H245" s="38"/>
      <c r="I245" s="46"/>
      <c r="J245" s="38" t="s">
        <v>66</v>
      </c>
      <c r="K245" s="38" t="s">
        <v>618</v>
      </c>
      <c r="L245" s="38" t="s">
        <v>94</v>
      </c>
      <c r="M245" s="38"/>
      <c r="N245" s="44" t="s">
        <v>23</v>
      </c>
      <c r="O245" s="13"/>
      <c r="P245" s="40" t="str">
        <f t="shared" si="3"/>
        <v>×</v>
      </c>
      <c r="Q245" s="33" t="s">
        <v>59</v>
      </c>
      <c r="S245" s="33"/>
      <c r="T245" s="33"/>
    </row>
    <row r="246" hidden="1">
      <c r="A246" s="17">
        <f t="shared" si="2"/>
        <v>244</v>
      </c>
      <c r="B246" s="42" t="s">
        <v>689</v>
      </c>
      <c r="C246" s="42" t="s">
        <v>615</v>
      </c>
      <c r="D246" s="34" t="s">
        <v>619</v>
      </c>
      <c r="E246" s="36"/>
      <c r="F246" s="17"/>
      <c r="G246" s="17" t="s">
        <v>2</v>
      </c>
      <c r="H246" s="38"/>
      <c r="I246" s="46"/>
      <c r="J246" s="38" t="s">
        <v>66</v>
      </c>
      <c r="K246" s="38" t="s">
        <v>620</v>
      </c>
      <c r="L246" s="38" t="s">
        <v>621</v>
      </c>
      <c r="M246" s="38"/>
      <c r="N246" s="44" t="s">
        <v>23</v>
      </c>
      <c r="O246" s="13"/>
      <c r="P246" s="40" t="str">
        <f t="shared" si="3"/>
        <v>×</v>
      </c>
      <c r="Q246" s="33" t="s">
        <v>59</v>
      </c>
      <c r="S246" s="33"/>
      <c r="T246" s="33"/>
    </row>
    <row r="247" hidden="1">
      <c r="A247" s="17">
        <f t="shared" si="2"/>
        <v>245</v>
      </c>
      <c r="B247" s="42" t="s">
        <v>689</v>
      </c>
      <c r="C247" s="42" t="s">
        <v>615</v>
      </c>
      <c r="D247" s="34" t="s">
        <v>622</v>
      </c>
      <c r="E247" s="36"/>
      <c r="F247" s="17"/>
      <c r="G247" s="17" t="s">
        <v>2</v>
      </c>
      <c r="H247" s="38"/>
      <c r="I247" s="38" t="s">
        <v>95</v>
      </c>
      <c r="J247" s="38" t="s">
        <v>66</v>
      </c>
      <c r="K247" s="38" t="s">
        <v>623</v>
      </c>
      <c r="L247" s="38" t="s">
        <v>624</v>
      </c>
      <c r="M247" s="38"/>
      <c r="N247" s="44" t="s">
        <v>23</v>
      </c>
      <c r="O247" s="13"/>
      <c r="P247" s="40" t="str">
        <f t="shared" si="3"/>
        <v>×</v>
      </c>
      <c r="Q247" s="33" t="s">
        <v>59</v>
      </c>
      <c r="S247" s="33"/>
      <c r="T247" s="33"/>
    </row>
    <row r="248" hidden="1">
      <c r="A248" s="17">
        <f t="shared" si="2"/>
        <v>246</v>
      </c>
      <c r="B248" s="42" t="s">
        <v>689</v>
      </c>
      <c r="C248" s="75" t="s">
        <v>111</v>
      </c>
      <c r="D248" s="36"/>
      <c r="E248" s="36"/>
      <c r="F248" s="17"/>
      <c r="G248" s="17" t="s">
        <v>2</v>
      </c>
      <c r="H248" s="38"/>
      <c r="I248" s="38"/>
      <c r="J248" s="38" t="s">
        <v>691</v>
      </c>
      <c r="K248" s="76" t="s">
        <v>746</v>
      </c>
      <c r="L248" s="38" t="s">
        <v>113</v>
      </c>
      <c r="M248" s="38"/>
      <c r="N248" s="44" t="s">
        <v>23</v>
      </c>
      <c r="O248" s="77" t="s">
        <v>747</v>
      </c>
      <c r="P248" s="40" t="str">
        <f t="shared" si="3"/>
        <v>×</v>
      </c>
      <c r="Q248" s="33" t="s">
        <v>59</v>
      </c>
      <c r="S248" s="78" t="s">
        <v>45</v>
      </c>
      <c r="T248" s="33"/>
      <c r="U248" s="11"/>
    </row>
    <row r="249" hidden="1">
      <c r="A249" s="17">
        <f t="shared" si="2"/>
        <v>247</v>
      </c>
      <c r="B249" s="79" t="s">
        <v>689</v>
      </c>
      <c r="C249" s="80" t="s">
        <v>748</v>
      </c>
      <c r="D249" s="80" t="s">
        <v>749</v>
      </c>
      <c r="E249" s="81"/>
      <c r="F249" s="82"/>
      <c r="G249" s="83" t="s">
        <v>2</v>
      </c>
      <c r="H249" s="82"/>
      <c r="I249" s="84" t="s">
        <v>750</v>
      </c>
      <c r="J249" s="84" t="s">
        <v>691</v>
      </c>
      <c r="K249" s="84" t="s">
        <v>751</v>
      </c>
      <c r="L249" s="84" t="s">
        <v>752</v>
      </c>
      <c r="M249" s="38"/>
      <c r="N249" s="44" t="s">
        <v>23</v>
      </c>
      <c r="O249" s="13"/>
      <c r="P249" s="40" t="str">
        <f t="shared" si="3"/>
        <v>×</v>
      </c>
      <c r="Q249" s="33" t="s">
        <v>59</v>
      </c>
      <c r="S249" s="33"/>
      <c r="T249" s="33"/>
      <c r="U249" s="11"/>
    </row>
    <row r="250" hidden="1">
      <c r="A250" s="17">
        <f t="shared" si="2"/>
        <v>248</v>
      </c>
      <c r="B250" s="79" t="s">
        <v>689</v>
      </c>
      <c r="C250" s="79" t="s">
        <v>748</v>
      </c>
      <c r="D250" s="80" t="s">
        <v>753</v>
      </c>
      <c r="E250" s="80" t="s">
        <v>480</v>
      </c>
      <c r="F250" s="82"/>
      <c r="G250" s="83" t="s">
        <v>2</v>
      </c>
      <c r="H250" s="82"/>
      <c r="I250" s="82"/>
      <c r="J250" s="84" t="s">
        <v>754</v>
      </c>
      <c r="K250" s="84" t="s">
        <v>755</v>
      </c>
      <c r="L250" s="84" t="s">
        <v>484</v>
      </c>
      <c r="M250" s="38"/>
      <c r="N250" s="44" t="s">
        <v>23</v>
      </c>
      <c r="O250" s="13"/>
      <c r="P250" s="40" t="str">
        <f t="shared" si="3"/>
        <v>×</v>
      </c>
      <c r="Q250" s="33" t="s">
        <v>59</v>
      </c>
      <c r="S250" s="33"/>
      <c r="T250" s="33"/>
      <c r="U250" s="11"/>
    </row>
    <row r="251" hidden="1">
      <c r="A251" s="17">
        <f t="shared" si="2"/>
        <v>249</v>
      </c>
      <c r="B251" s="79" t="s">
        <v>689</v>
      </c>
      <c r="C251" s="79" t="s">
        <v>748</v>
      </c>
      <c r="D251" s="85" t="s">
        <v>753</v>
      </c>
      <c r="E251" s="80" t="s">
        <v>636</v>
      </c>
      <c r="F251" s="82"/>
      <c r="G251" s="83" t="s">
        <v>2</v>
      </c>
      <c r="H251" s="82"/>
      <c r="I251" s="84" t="s">
        <v>637</v>
      </c>
      <c r="J251" s="84" t="s">
        <v>756</v>
      </c>
      <c r="K251" s="84" t="s">
        <v>757</v>
      </c>
      <c r="L251" s="84" t="s">
        <v>640</v>
      </c>
      <c r="M251" s="38"/>
      <c r="N251" s="44" t="s">
        <v>23</v>
      </c>
      <c r="O251" s="13"/>
      <c r="P251" s="40" t="str">
        <f t="shared" si="3"/>
        <v>×</v>
      </c>
      <c r="Q251" s="33" t="s">
        <v>59</v>
      </c>
      <c r="S251" s="33"/>
      <c r="T251" s="33"/>
    </row>
    <row r="252" hidden="1">
      <c r="A252" s="17">
        <f t="shared" si="2"/>
        <v>250</v>
      </c>
      <c r="B252" s="79" t="s">
        <v>689</v>
      </c>
      <c r="C252" s="79" t="s">
        <v>748</v>
      </c>
      <c r="D252" s="85" t="s">
        <v>753</v>
      </c>
      <c r="E252" s="80" t="s">
        <v>758</v>
      </c>
      <c r="F252" s="82"/>
      <c r="G252" s="83" t="s">
        <v>2</v>
      </c>
      <c r="H252" s="82"/>
      <c r="I252" s="82"/>
      <c r="J252" s="84" t="s">
        <v>66</v>
      </c>
      <c r="K252" s="84" t="s">
        <v>759</v>
      </c>
      <c r="L252" s="84" t="s">
        <v>760</v>
      </c>
      <c r="M252" s="38"/>
      <c r="N252" s="44" t="s">
        <v>23</v>
      </c>
      <c r="O252" s="13"/>
      <c r="P252" s="40" t="str">
        <f t="shared" si="3"/>
        <v>×</v>
      </c>
      <c r="Q252" s="33" t="s">
        <v>59</v>
      </c>
      <c r="S252" s="33"/>
      <c r="T252" s="33"/>
    </row>
    <row r="253" hidden="1">
      <c r="A253" s="17">
        <f t="shared" si="2"/>
        <v>251</v>
      </c>
      <c r="B253" s="79" t="s">
        <v>689</v>
      </c>
      <c r="C253" s="79" t="s">
        <v>748</v>
      </c>
      <c r="D253" s="85" t="s">
        <v>753</v>
      </c>
      <c r="E253" s="80" t="s">
        <v>761</v>
      </c>
      <c r="F253" s="82"/>
      <c r="G253" s="83" t="s">
        <v>2</v>
      </c>
      <c r="H253" s="82"/>
      <c r="I253" s="82"/>
      <c r="J253" s="84" t="s">
        <v>66</v>
      </c>
      <c r="K253" s="84" t="s">
        <v>762</v>
      </c>
      <c r="L253" s="84" t="s">
        <v>763</v>
      </c>
      <c r="M253" s="38"/>
      <c r="N253" s="44" t="s">
        <v>23</v>
      </c>
      <c r="O253" s="13"/>
      <c r="P253" s="40" t="str">
        <f t="shared" si="3"/>
        <v>×</v>
      </c>
      <c r="Q253" s="33" t="s">
        <v>59</v>
      </c>
      <c r="S253" s="33"/>
      <c r="T253" s="33"/>
    </row>
    <row r="254" hidden="1">
      <c r="A254" s="17">
        <f t="shared" si="2"/>
        <v>252</v>
      </c>
      <c r="B254" s="79" t="s">
        <v>689</v>
      </c>
      <c r="C254" s="79" t="s">
        <v>748</v>
      </c>
      <c r="D254" s="85" t="s">
        <v>753</v>
      </c>
      <c r="E254" s="80" t="s">
        <v>764</v>
      </c>
      <c r="F254" s="82"/>
      <c r="G254" s="83" t="s">
        <v>2</v>
      </c>
      <c r="H254" s="82"/>
      <c r="I254" s="82"/>
      <c r="J254" s="84" t="s">
        <v>66</v>
      </c>
      <c r="K254" s="84" t="s">
        <v>765</v>
      </c>
      <c r="L254" s="84" t="s">
        <v>632</v>
      </c>
      <c r="M254" s="38"/>
      <c r="N254" s="44" t="s">
        <v>23</v>
      </c>
      <c r="O254" s="13"/>
      <c r="P254" s="40" t="str">
        <f t="shared" si="3"/>
        <v>×</v>
      </c>
      <c r="Q254" s="33" t="s">
        <v>59</v>
      </c>
      <c r="S254" s="33"/>
      <c r="T254" s="33"/>
    </row>
    <row r="255" hidden="1">
      <c r="A255" s="17">
        <f t="shared" si="2"/>
        <v>253</v>
      </c>
      <c r="B255" s="79" t="s">
        <v>689</v>
      </c>
      <c r="C255" s="79" t="s">
        <v>748</v>
      </c>
      <c r="D255" s="85" t="s">
        <v>753</v>
      </c>
      <c r="E255" s="80" t="s">
        <v>766</v>
      </c>
      <c r="F255" s="82"/>
      <c r="G255" s="83" t="s">
        <v>2</v>
      </c>
      <c r="H255" s="82"/>
      <c r="I255" s="82"/>
      <c r="J255" s="84" t="s">
        <v>66</v>
      </c>
      <c r="K255" s="84" t="s">
        <v>767</v>
      </c>
      <c r="L255" s="84" t="s">
        <v>768</v>
      </c>
      <c r="M255" s="38"/>
      <c r="N255" s="44" t="s">
        <v>23</v>
      </c>
      <c r="O255" s="13"/>
      <c r="P255" s="40" t="str">
        <f t="shared" si="3"/>
        <v>×</v>
      </c>
      <c r="Q255" s="33" t="s">
        <v>59</v>
      </c>
      <c r="S255" s="33"/>
      <c r="T255" s="33"/>
    </row>
    <row r="256" hidden="1">
      <c r="A256" s="17">
        <f t="shared" si="2"/>
        <v>254</v>
      </c>
      <c r="B256" s="79" t="s">
        <v>689</v>
      </c>
      <c r="C256" s="79" t="s">
        <v>748</v>
      </c>
      <c r="D256" s="85" t="s">
        <v>753</v>
      </c>
      <c r="E256" s="80" t="s">
        <v>769</v>
      </c>
      <c r="F256" s="82"/>
      <c r="G256" s="83" t="s">
        <v>2</v>
      </c>
      <c r="H256" s="82"/>
      <c r="I256" s="82"/>
      <c r="J256" s="84" t="s">
        <v>66</v>
      </c>
      <c r="K256" s="84" t="s">
        <v>770</v>
      </c>
      <c r="L256" s="84" t="s">
        <v>635</v>
      </c>
      <c r="M256" s="38"/>
      <c r="N256" s="44" t="s">
        <v>23</v>
      </c>
      <c r="O256" s="13"/>
      <c r="P256" s="40" t="str">
        <f t="shared" si="3"/>
        <v>×</v>
      </c>
      <c r="Q256" s="33" t="s">
        <v>59</v>
      </c>
      <c r="S256" s="33"/>
      <c r="T256" s="33"/>
    </row>
    <row r="257" hidden="1">
      <c r="A257" s="17">
        <f t="shared" si="2"/>
        <v>255</v>
      </c>
      <c r="B257" s="79" t="s">
        <v>689</v>
      </c>
      <c r="C257" s="79" t="s">
        <v>748</v>
      </c>
      <c r="D257" s="85" t="s">
        <v>753</v>
      </c>
      <c r="E257" s="80" t="s">
        <v>771</v>
      </c>
      <c r="F257" s="82"/>
      <c r="G257" s="83" t="s">
        <v>2</v>
      </c>
      <c r="H257" s="82"/>
      <c r="I257" s="82"/>
      <c r="J257" s="84" t="s">
        <v>66</v>
      </c>
      <c r="K257" s="84" t="s">
        <v>772</v>
      </c>
      <c r="L257" s="84" t="s">
        <v>773</v>
      </c>
      <c r="M257" s="38"/>
      <c r="N257" s="44" t="s">
        <v>23</v>
      </c>
      <c r="O257" s="13"/>
      <c r="P257" s="40" t="str">
        <f t="shared" si="3"/>
        <v>×</v>
      </c>
      <c r="Q257" s="33" t="s">
        <v>59</v>
      </c>
      <c r="S257" s="33"/>
      <c r="T257" s="33"/>
    </row>
    <row r="258" hidden="1">
      <c r="A258" s="17">
        <f t="shared" si="2"/>
        <v>256</v>
      </c>
      <c r="B258" s="79" t="s">
        <v>689</v>
      </c>
      <c r="C258" s="79" t="s">
        <v>748</v>
      </c>
      <c r="D258" s="85" t="s">
        <v>753</v>
      </c>
      <c r="E258" s="80" t="s">
        <v>774</v>
      </c>
      <c r="F258" s="82"/>
      <c r="G258" s="83" t="s">
        <v>2</v>
      </c>
      <c r="H258" s="82"/>
      <c r="I258" s="82"/>
      <c r="J258" s="84" t="s">
        <v>66</v>
      </c>
      <c r="K258" s="84" t="s">
        <v>775</v>
      </c>
      <c r="L258" s="84" t="s">
        <v>776</v>
      </c>
      <c r="M258" s="38"/>
      <c r="N258" s="44" t="s">
        <v>23</v>
      </c>
      <c r="O258" s="13"/>
      <c r="P258" s="40" t="str">
        <f t="shared" si="3"/>
        <v>×</v>
      </c>
      <c r="Q258" s="33" t="s">
        <v>59</v>
      </c>
      <c r="S258" s="33"/>
      <c r="T258" s="33"/>
    </row>
    <row r="259" hidden="1">
      <c r="A259" s="17">
        <f t="shared" si="2"/>
        <v>257</v>
      </c>
      <c r="B259" s="79" t="s">
        <v>689</v>
      </c>
      <c r="C259" s="79" t="s">
        <v>748</v>
      </c>
      <c r="D259" s="85" t="s">
        <v>753</v>
      </c>
      <c r="E259" s="80" t="s">
        <v>504</v>
      </c>
      <c r="F259" s="82"/>
      <c r="G259" s="83" t="s">
        <v>2</v>
      </c>
      <c r="H259" s="82"/>
      <c r="I259" s="82"/>
      <c r="J259" s="84" t="s">
        <v>66</v>
      </c>
      <c r="K259" s="84" t="s">
        <v>777</v>
      </c>
      <c r="L259" s="84" t="s">
        <v>778</v>
      </c>
      <c r="M259" s="38"/>
      <c r="N259" s="44" t="s">
        <v>23</v>
      </c>
      <c r="O259" s="13"/>
      <c r="P259" s="40" t="str">
        <f t="shared" si="3"/>
        <v>×</v>
      </c>
      <c r="Q259" s="33" t="s">
        <v>59</v>
      </c>
      <c r="S259" s="33"/>
      <c r="T259" s="33"/>
    </row>
    <row r="260" hidden="1">
      <c r="A260" s="17">
        <f t="shared" si="2"/>
        <v>258</v>
      </c>
      <c r="B260" s="79" t="s">
        <v>689</v>
      </c>
      <c r="C260" s="79" t="s">
        <v>748</v>
      </c>
      <c r="D260" s="85" t="s">
        <v>753</v>
      </c>
      <c r="E260" s="80" t="s">
        <v>779</v>
      </c>
      <c r="F260" s="82"/>
      <c r="G260" s="83" t="s">
        <v>2</v>
      </c>
      <c r="H260" s="82"/>
      <c r="I260" s="82"/>
      <c r="J260" s="83" t="s">
        <v>66</v>
      </c>
      <c r="K260" s="84" t="s">
        <v>780</v>
      </c>
      <c r="L260" s="84" t="s">
        <v>781</v>
      </c>
      <c r="M260" s="38"/>
      <c r="N260" s="44" t="s">
        <v>23</v>
      </c>
      <c r="O260" s="13"/>
      <c r="P260" s="40" t="str">
        <f t="shared" si="3"/>
        <v>×</v>
      </c>
      <c r="Q260" s="33" t="s">
        <v>59</v>
      </c>
      <c r="S260" s="33"/>
      <c r="T260" s="33"/>
    </row>
    <row r="261" hidden="1">
      <c r="A261" s="17">
        <f t="shared" si="2"/>
        <v>259</v>
      </c>
      <c r="B261" s="79" t="s">
        <v>689</v>
      </c>
      <c r="C261" s="79" t="s">
        <v>748</v>
      </c>
      <c r="D261" s="85" t="s">
        <v>753</v>
      </c>
      <c r="E261" s="80" t="s">
        <v>646</v>
      </c>
      <c r="F261" s="82"/>
      <c r="G261" s="83" t="s">
        <v>2</v>
      </c>
      <c r="H261" s="82"/>
      <c r="I261" s="86" t="s">
        <v>647</v>
      </c>
      <c r="J261" s="83" t="s">
        <v>66</v>
      </c>
      <c r="K261" s="84" t="s">
        <v>782</v>
      </c>
      <c r="L261" s="84" t="s">
        <v>783</v>
      </c>
      <c r="M261" s="38"/>
      <c r="N261" s="44" t="s">
        <v>23</v>
      </c>
      <c r="O261" s="13"/>
      <c r="P261" s="40" t="str">
        <f t="shared" si="3"/>
        <v>×</v>
      </c>
      <c r="Q261" s="33" t="s">
        <v>59</v>
      </c>
      <c r="S261" s="33"/>
      <c r="T261" s="33"/>
    </row>
    <row r="262" hidden="1">
      <c r="A262" s="17">
        <f t="shared" si="2"/>
        <v>260</v>
      </c>
      <c r="B262" s="79" t="s">
        <v>689</v>
      </c>
      <c r="C262" s="79" t="s">
        <v>748</v>
      </c>
      <c r="D262" s="85" t="s">
        <v>753</v>
      </c>
      <c r="E262" s="80" t="s">
        <v>784</v>
      </c>
      <c r="F262" s="82"/>
      <c r="G262" s="83" t="s">
        <v>2</v>
      </c>
      <c r="H262" s="82"/>
      <c r="I262" s="82"/>
      <c r="J262" s="83" t="s">
        <v>66</v>
      </c>
      <c r="K262" s="84" t="s">
        <v>785</v>
      </c>
      <c r="L262" s="84" t="s">
        <v>652</v>
      </c>
      <c r="M262" s="38"/>
      <c r="N262" s="44" t="s">
        <v>23</v>
      </c>
      <c r="O262" s="13"/>
      <c r="P262" s="40" t="str">
        <f t="shared" si="3"/>
        <v>×</v>
      </c>
      <c r="Q262" s="33" t="s">
        <v>59</v>
      </c>
      <c r="S262" s="33"/>
      <c r="T262" s="33"/>
    </row>
    <row r="263" hidden="1">
      <c r="A263" s="17">
        <f t="shared" si="2"/>
        <v>261</v>
      </c>
      <c r="B263" s="79" t="s">
        <v>689</v>
      </c>
      <c r="C263" s="79" t="s">
        <v>748</v>
      </c>
      <c r="D263" s="85" t="s">
        <v>753</v>
      </c>
      <c r="E263" s="80" t="s">
        <v>663</v>
      </c>
      <c r="F263" s="82"/>
      <c r="G263" s="83" t="s">
        <v>2</v>
      </c>
      <c r="H263" s="82"/>
      <c r="I263" s="82"/>
      <c r="J263" s="83" t="s">
        <v>66</v>
      </c>
      <c r="K263" s="84" t="s">
        <v>786</v>
      </c>
      <c r="L263" s="84" t="s">
        <v>665</v>
      </c>
      <c r="M263" s="38"/>
      <c r="N263" s="44" t="s">
        <v>23</v>
      </c>
      <c r="O263" s="13"/>
      <c r="P263" s="40" t="str">
        <f t="shared" si="3"/>
        <v>×</v>
      </c>
      <c r="Q263" s="33" t="s">
        <v>59</v>
      </c>
      <c r="S263" s="33"/>
      <c r="T263" s="33"/>
    </row>
    <row r="264" hidden="1">
      <c r="A264" s="17">
        <f t="shared" si="2"/>
        <v>262</v>
      </c>
      <c r="B264" s="79" t="s">
        <v>689</v>
      </c>
      <c r="C264" s="79" t="s">
        <v>748</v>
      </c>
      <c r="D264" s="85" t="s">
        <v>753</v>
      </c>
      <c r="E264" s="80" t="s">
        <v>787</v>
      </c>
      <c r="F264" s="82"/>
      <c r="G264" s="83" t="s">
        <v>2</v>
      </c>
      <c r="H264" s="82"/>
      <c r="I264" s="82"/>
      <c r="J264" s="83" t="s">
        <v>66</v>
      </c>
      <c r="K264" s="84" t="s">
        <v>788</v>
      </c>
      <c r="L264" s="84" t="s">
        <v>789</v>
      </c>
      <c r="M264" s="38"/>
      <c r="N264" s="44" t="s">
        <v>23</v>
      </c>
      <c r="O264" s="13"/>
      <c r="P264" s="40" t="str">
        <f t="shared" si="3"/>
        <v>×</v>
      </c>
      <c r="Q264" s="33" t="s">
        <v>59</v>
      </c>
      <c r="S264" s="33"/>
      <c r="T264" s="33"/>
    </row>
    <row r="265" hidden="1">
      <c r="A265" s="17">
        <f t="shared" si="2"/>
        <v>263</v>
      </c>
      <c r="B265" s="79" t="s">
        <v>689</v>
      </c>
      <c r="C265" s="79" t="s">
        <v>748</v>
      </c>
      <c r="D265" s="80" t="s">
        <v>653</v>
      </c>
      <c r="E265" s="80" t="s">
        <v>654</v>
      </c>
      <c r="F265" s="82"/>
      <c r="G265" s="83" t="s">
        <v>2</v>
      </c>
      <c r="H265" s="82"/>
      <c r="I265" s="84" t="s">
        <v>657</v>
      </c>
      <c r="J265" s="83" t="s">
        <v>66</v>
      </c>
      <c r="K265" s="84" t="s">
        <v>790</v>
      </c>
      <c r="L265" s="84" t="s">
        <v>656</v>
      </c>
      <c r="M265" s="38"/>
      <c r="N265" s="44" t="s">
        <v>23</v>
      </c>
      <c r="O265" s="13"/>
      <c r="P265" s="40" t="str">
        <f t="shared" si="3"/>
        <v>×</v>
      </c>
      <c r="Q265" s="33" t="s">
        <v>59</v>
      </c>
      <c r="S265" s="33"/>
      <c r="T265" s="33"/>
    </row>
    <row r="266" hidden="1">
      <c r="A266" s="17">
        <f t="shared" si="2"/>
        <v>264</v>
      </c>
      <c r="B266" s="79" t="s">
        <v>689</v>
      </c>
      <c r="C266" s="79" t="s">
        <v>748</v>
      </c>
      <c r="D266" s="85" t="s">
        <v>653</v>
      </c>
      <c r="E266" s="80" t="s">
        <v>504</v>
      </c>
      <c r="F266" s="82"/>
      <c r="G266" s="83" t="s">
        <v>2</v>
      </c>
      <c r="H266" s="82"/>
      <c r="I266" s="84" t="s">
        <v>791</v>
      </c>
      <c r="J266" s="83" t="s">
        <v>66</v>
      </c>
      <c r="K266" s="84" t="s">
        <v>792</v>
      </c>
      <c r="L266" s="84" t="s">
        <v>778</v>
      </c>
      <c r="M266" s="38"/>
      <c r="N266" s="44" t="s">
        <v>23</v>
      </c>
      <c r="O266" s="13"/>
      <c r="P266" s="40" t="str">
        <f t="shared" si="3"/>
        <v>×</v>
      </c>
      <c r="Q266" s="33" t="s">
        <v>59</v>
      </c>
      <c r="S266" s="33"/>
      <c r="T266" s="33"/>
    </row>
    <row r="267" hidden="1">
      <c r="A267" s="17">
        <f t="shared" si="2"/>
        <v>265</v>
      </c>
      <c r="B267" s="79" t="s">
        <v>689</v>
      </c>
      <c r="C267" s="79" t="s">
        <v>748</v>
      </c>
      <c r="D267" s="85" t="s">
        <v>653</v>
      </c>
      <c r="E267" s="80" t="s">
        <v>663</v>
      </c>
      <c r="F267" s="82"/>
      <c r="G267" s="83" t="s">
        <v>2</v>
      </c>
      <c r="H267" s="82"/>
      <c r="I267" s="82"/>
      <c r="J267" s="83" t="s">
        <v>66</v>
      </c>
      <c r="K267" s="84" t="s">
        <v>793</v>
      </c>
      <c r="L267" s="84" t="s">
        <v>665</v>
      </c>
      <c r="M267" s="38"/>
      <c r="N267" s="44" t="s">
        <v>23</v>
      </c>
      <c r="O267" s="13"/>
      <c r="P267" s="40" t="str">
        <f t="shared" si="3"/>
        <v>×</v>
      </c>
      <c r="Q267" s="33" t="s">
        <v>59</v>
      </c>
      <c r="S267" s="33"/>
      <c r="T267" s="33"/>
    </row>
    <row r="268" hidden="1">
      <c r="A268" s="17">
        <f t="shared" si="2"/>
        <v>266</v>
      </c>
      <c r="B268" s="79" t="s">
        <v>689</v>
      </c>
      <c r="C268" s="79" t="s">
        <v>748</v>
      </c>
      <c r="D268" s="85" t="s">
        <v>653</v>
      </c>
      <c r="E268" s="80" t="s">
        <v>794</v>
      </c>
      <c r="F268" s="82"/>
      <c r="G268" s="83" t="s">
        <v>2</v>
      </c>
      <c r="H268" s="82"/>
      <c r="I268" s="82"/>
      <c r="J268" s="83" t="s">
        <v>66</v>
      </c>
      <c r="K268" s="84" t="s">
        <v>795</v>
      </c>
      <c r="L268" s="87" t="s">
        <v>796</v>
      </c>
      <c r="M268" s="38"/>
      <c r="N268" s="44" t="s">
        <v>23</v>
      </c>
      <c r="O268" s="13"/>
      <c r="P268" s="40" t="str">
        <f t="shared" si="3"/>
        <v>×</v>
      </c>
      <c r="Q268" s="33" t="s">
        <v>59</v>
      </c>
      <c r="S268" s="33"/>
      <c r="T268" s="78" t="s">
        <v>45</v>
      </c>
    </row>
    <row r="269" hidden="1">
      <c r="A269" s="17">
        <f t="shared" si="2"/>
        <v>267</v>
      </c>
      <c r="B269" s="79" t="s">
        <v>689</v>
      </c>
      <c r="C269" s="79" t="s">
        <v>748</v>
      </c>
      <c r="D269" s="85" t="s">
        <v>653</v>
      </c>
      <c r="E269" s="80" t="s">
        <v>669</v>
      </c>
      <c r="F269" s="82"/>
      <c r="G269" s="83" t="s">
        <v>2</v>
      </c>
      <c r="H269" s="82"/>
      <c r="I269" s="82"/>
      <c r="J269" s="83" t="s">
        <v>66</v>
      </c>
      <c r="K269" s="84" t="s">
        <v>797</v>
      </c>
      <c r="L269" s="84" t="s">
        <v>671</v>
      </c>
      <c r="M269" s="38"/>
      <c r="N269" s="44" t="s">
        <v>23</v>
      </c>
      <c r="O269" s="13"/>
      <c r="P269" s="40" t="str">
        <f t="shared" si="3"/>
        <v>×</v>
      </c>
      <c r="Q269" s="33" t="s">
        <v>59</v>
      </c>
      <c r="S269" s="33"/>
      <c r="T269" s="33"/>
    </row>
    <row r="270" hidden="1">
      <c r="A270" s="17">
        <f t="shared" si="2"/>
        <v>268</v>
      </c>
      <c r="B270" s="79" t="s">
        <v>689</v>
      </c>
      <c r="C270" s="80" t="s">
        <v>798</v>
      </c>
      <c r="D270" s="80" t="s">
        <v>749</v>
      </c>
      <c r="E270" s="81"/>
      <c r="F270" s="82"/>
      <c r="G270" s="83" t="s">
        <v>2</v>
      </c>
      <c r="H270" s="82"/>
      <c r="I270" s="84" t="s">
        <v>799</v>
      </c>
      <c r="J270" s="84" t="s">
        <v>691</v>
      </c>
      <c r="K270" s="84" t="s">
        <v>800</v>
      </c>
      <c r="L270" s="84" t="s">
        <v>752</v>
      </c>
      <c r="M270" s="38"/>
      <c r="N270" s="44" t="s">
        <v>23</v>
      </c>
      <c r="O270" s="39"/>
      <c r="P270" s="40" t="str">
        <f t="shared" si="3"/>
        <v>×</v>
      </c>
      <c r="Q270" s="33" t="s">
        <v>59</v>
      </c>
      <c r="S270" s="33"/>
      <c r="T270" s="33"/>
      <c r="U270" s="11"/>
    </row>
    <row r="271" hidden="1">
      <c r="A271" s="17">
        <f t="shared" si="2"/>
        <v>269</v>
      </c>
      <c r="B271" s="79" t="s">
        <v>689</v>
      </c>
      <c r="C271" s="79" t="s">
        <v>798</v>
      </c>
      <c r="D271" s="80" t="s">
        <v>753</v>
      </c>
      <c r="E271" s="80" t="s">
        <v>801</v>
      </c>
      <c r="F271" s="82"/>
      <c r="G271" s="83" t="s">
        <v>2</v>
      </c>
      <c r="H271" s="82"/>
      <c r="I271" s="84"/>
      <c r="J271" s="84" t="s">
        <v>691</v>
      </c>
      <c r="K271" s="84" t="s">
        <v>802</v>
      </c>
      <c r="L271" s="84" t="s">
        <v>803</v>
      </c>
      <c r="M271" s="38"/>
      <c r="N271" s="44" t="s">
        <v>23</v>
      </c>
      <c r="O271" s="39"/>
      <c r="P271" s="40" t="str">
        <f t="shared" si="3"/>
        <v>×</v>
      </c>
      <c r="Q271" s="33" t="s">
        <v>59</v>
      </c>
      <c r="S271" s="33"/>
      <c r="T271" s="33"/>
      <c r="U271" s="11"/>
    </row>
    <row r="272" hidden="1">
      <c r="A272" s="17">
        <f t="shared" si="2"/>
        <v>270</v>
      </c>
      <c r="B272" s="79" t="s">
        <v>689</v>
      </c>
      <c r="C272" s="79" t="s">
        <v>798</v>
      </c>
      <c r="D272" s="85" t="s">
        <v>753</v>
      </c>
      <c r="E272" s="81" t="s">
        <v>804</v>
      </c>
      <c r="F272" s="82"/>
      <c r="G272" s="83" t="s">
        <v>2</v>
      </c>
      <c r="H272" s="82"/>
      <c r="I272" s="84"/>
      <c r="J272" s="84" t="s">
        <v>66</v>
      </c>
      <c r="K272" s="84" t="s">
        <v>805</v>
      </c>
      <c r="L272" s="84" t="s">
        <v>773</v>
      </c>
      <c r="M272" s="38"/>
      <c r="N272" s="44" t="s">
        <v>23</v>
      </c>
      <c r="O272" s="39"/>
      <c r="P272" s="40" t="str">
        <f t="shared" si="3"/>
        <v>×</v>
      </c>
      <c r="Q272" s="33" t="s">
        <v>59</v>
      </c>
      <c r="S272" s="33"/>
      <c r="T272" s="33"/>
      <c r="U272" s="11"/>
    </row>
    <row r="273" hidden="1">
      <c r="A273" s="17">
        <f t="shared" si="2"/>
        <v>271</v>
      </c>
      <c r="B273" s="79" t="s">
        <v>689</v>
      </c>
      <c r="C273" s="79" t="s">
        <v>798</v>
      </c>
      <c r="D273" s="85" t="s">
        <v>753</v>
      </c>
      <c r="E273" s="81" t="s">
        <v>806</v>
      </c>
      <c r="F273" s="82"/>
      <c r="G273" s="83" t="s">
        <v>2</v>
      </c>
      <c r="H273" s="82"/>
      <c r="I273" s="84"/>
      <c r="J273" s="84" t="s">
        <v>66</v>
      </c>
      <c r="K273" s="84" t="s">
        <v>807</v>
      </c>
      <c r="L273" s="84" t="s">
        <v>635</v>
      </c>
      <c r="M273" s="38"/>
      <c r="N273" s="44" t="s">
        <v>23</v>
      </c>
      <c r="O273" s="39"/>
      <c r="P273" s="40" t="str">
        <f t="shared" si="3"/>
        <v>×</v>
      </c>
      <c r="Q273" s="33" t="s">
        <v>59</v>
      </c>
      <c r="S273" s="33"/>
      <c r="T273" s="33"/>
      <c r="U273" s="11"/>
    </row>
    <row r="274" hidden="1">
      <c r="A274" s="17">
        <f t="shared" si="2"/>
        <v>272</v>
      </c>
      <c r="B274" s="79" t="s">
        <v>689</v>
      </c>
      <c r="C274" s="79" t="s">
        <v>798</v>
      </c>
      <c r="D274" s="85" t="s">
        <v>753</v>
      </c>
      <c r="E274" s="81" t="s">
        <v>808</v>
      </c>
      <c r="F274" s="82"/>
      <c r="G274" s="83" t="s">
        <v>2</v>
      </c>
      <c r="H274" s="82"/>
      <c r="I274" s="84"/>
      <c r="J274" s="84" t="s">
        <v>66</v>
      </c>
      <c r="K274" s="84" t="s">
        <v>809</v>
      </c>
      <c r="L274" s="84" t="s">
        <v>776</v>
      </c>
      <c r="M274" s="38"/>
      <c r="N274" s="44" t="s">
        <v>23</v>
      </c>
      <c r="O274" s="39"/>
      <c r="P274" s="40" t="str">
        <f t="shared" si="3"/>
        <v>×</v>
      </c>
      <c r="Q274" s="33" t="s">
        <v>59</v>
      </c>
      <c r="S274" s="33"/>
      <c r="T274" s="33"/>
      <c r="U274" s="11"/>
    </row>
    <row r="275" hidden="1">
      <c r="A275" s="17">
        <f t="shared" si="2"/>
        <v>273</v>
      </c>
      <c r="B275" s="79" t="s">
        <v>689</v>
      </c>
      <c r="C275" s="79" t="s">
        <v>798</v>
      </c>
      <c r="D275" s="85" t="s">
        <v>753</v>
      </c>
      <c r="E275" s="81" t="s">
        <v>504</v>
      </c>
      <c r="F275" s="82"/>
      <c r="G275" s="83" t="s">
        <v>2</v>
      </c>
      <c r="H275" s="82"/>
      <c r="I275" s="84"/>
      <c r="J275" s="84" t="s">
        <v>66</v>
      </c>
      <c r="K275" s="84" t="s">
        <v>810</v>
      </c>
      <c r="L275" s="84" t="s">
        <v>778</v>
      </c>
      <c r="M275" s="38"/>
      <c r="N275" s="44" t="s">
        <v>23</v>
      </c>
      <c r="O275" s="39"/>
      <c r="P275" s="40" t="str">
        <f t="shared" si="3"/>
        <v>×</v>
      </c>
      <c r="Q275" s="33" t="s">
        <v>59</v>
      </c>
      <c r="S275" s="33"/>
      <c r="T275" s="33"/>
      <c r="U275" s="11"/>
    </row>
    <row r="276" hidden="1">
      <c r="A276" s="17">
        <f t="shared" si="2"/>
        <v>274</v>
      </c>
      <c r="B276" s="79" t="s">
        <v>689</v>
      </c>
      <c r="C276" s="79" t="s">
        <v>798</v>
      </c>
      <c r="D276" s="85" t="s">
        <v>753</v>
      </c>
      <c r="E276" s="80" t="s">
        <v>663</v>
      </c>
      <c r="F276" s="82"/>
      <c r="G276" s="83" t="s">
        <v>2</v>
      </c>
      <c r="H276" s="82"/>
      <c r="I276" s="84"/>
      <c r="J276" s="84" t="s">
        <v>66</v>
      </c>
      <c r="K276" s="84" t="s">
        <v>664</v>
      </c>
      <c r="L276" s="84" t="s">
        <v>665</v>
      </c>
      <c r="M276" s="38"/>
      <c r="N276" s="44" t="s">
        <v>23</v>
      </c>
      <c r="O276" s="39"/>
      <c r="P276" s="40" t="str">
        <f t="shared" si="3"/>
        <v>×</v>
      </c>
      <c r="Q276" s="33" t="s">
        <v>59</v>
      </c>
      <c r="S276" s="33"/>
      <c r="T276" s="33"/>
      <c r="U276" s="11"/>
    </row>
    <row r="277" hidden="1">
      <c r="A277" s="17">
        <f t="shared" si="2"/>
        <v>275</v>
      </c>
      <c r="B277" s="79" t="s">
        <v>689</v>
      </c>
      <c r="C277" s="79" t="s">
        <v>798</v>
      </c>
      <c r="D277" s="85" t="s">
        <v>753</v>
      </c>
      <c r="E277" s="80" t="s">
        <v>811</v>
      </c>
      <c r="F277" s="82"/>
      <c r="G277" s="83" t="s">
        <v>2</v>
      </c>
      <c r="H277" s="82"/>
      <c r="I277" s="84"/>
      <c r="J277" s="84" t="s">
        <v>66</v>
      </c>
      <c r="K277" s="84" t="s">
        <v>812</v>
      </c>
      <c r="L277" s="87" t="s">
        <v>813</v>
      </c>
      <c r="M277" s="38"/>
      <c r="N277" s="44" t="s">
        <v>23</v>
      </c>
      <c r="O277" s="39"/>
      <c r="P277" s="40" t="str">
        <f t="shared" si="3"/>
        <v>×</v>
      </c>
      <c r="Q277" s="33" t="s">
        <v>59</v>
      </c>
      <c r="S277" s="33"/>
      <c r="T277" s="78" t="s">
        <v>45</v>
      </c>
      <c r="U277" s="11"/>
    </row>
    <row r="278" hidden="1">
      <c r="A278" s="17">
        <f t="shared" si="2"/>
        <v>276</v>
      </c>
      <c r="B278" s="79" t="s">
        <v>689</v>
      </c>
      <c r="C278" s="79" t="s">
        <v>798</v>
      </c>
      <c r="D278" s="80" t="s">
        <v>814</v>
      </c>
      <c r="E278" s="80" t="s">
        <v>669</v>
      </c>
      <c r="F278" s="82"/>
      <c r="G278" s="83" t="s">
        <v>2</v>
      </c>
      <c r="H278" s="82"/>
      <c r="I278" s="84"/>
      <c r="J278" s="84" t="s">
        <v>66</v>
      </c>
      <c r="K278" s="84" t="s">
        <v>815</v>
      </c>
      <c r="L278" s="84" t="s">
        <v>671</v>
      </c>
      <c r="M278" s="38"/>
      <c r="N278" s="44" t="s">
        <v>23</v>
      </c>
      <c r="O278" s="39"/>
      <c r="P278" s="40" t="str">
        <f t="shared" si="3"/>
        <v>×</v>
      </c>
      <c r="Q278" s="33" t="s">
        <v>59</v>
      </c>
      <c r="S278" s="33"/>
      <c r="T278" s="33"/>
      <c r="U278" s="11"/>
    </row>
    <row r="279" hidden="1">
      <c r="A279" s="17">
        <f t="shared" si="2"/>
        <v>277</v>
      </c>
      <c r="B279" s="79" t="s">
        <v>689</v>
      </c>
      <c r="C279" s="80" t="s">
        <v>675</v>
      </c>
      <c r="D279" s="80" t="s">
        <v>816</v>
      </c>
      <c r="E279" s="81"/>
      <c r="F279" s="82"/>
      <c r="G279" s="83" t="s">
        <v>2</v>
      </c>
      <c r="H279" s="82"/>
      <c r="I279" s="84" t="s">
        <v>750</v>
      </c>
      <c r="J279" s="84" t="s">
        <v>691</v>
      </c>
      <c r="K279" s="84" t="s">
        <v>817</v>
      </c>
      <c r="L279" s="84" t="s">
        <v>818</v>
      </c>
      <c r="M279" s="38"/>
      <c r="N279" s="44" t="s">
        <v>23</v>
      </c>
      <c r="O279" s="39"/>
      <c r="P279" s="40" t="str">
        <f t="shared" si="3"/>
        <v>×</v>
      </c>
      <c r="Q279" s="33" t="s">
        <v>59</v>
      </c>
      <c r="S279" s="33"/>
      <c r="T279" s="33"/>
      <c r="U279" s="11"/>
    </row>
    <row r="280" hidden="1">
      <c r="A280" s="17">
        <f t="shared" si="2"/>
        <v>278</v>
      </c>
      <c r="B280" s="79" t="s">
        <v>689</v>
      </c>
      <c r="C280" s="79" t="s">
        <v>675</v>
      </c>
      <c r="D280" s="80" t="s">
        <v>819</v>
      </c>
      <c r="E280" s="80" t="s">
        <v>636</v>
      </c>
      <c r="F280" s="82"/>
      <c r="G280" s="83" t="s">
        <v>2</v>
      </c>
      <c r="H280" s="82"/>
      <c r="I280" s="84" t="s">
        <v>820</v>
      </c>
      <c r="J280" s="84" t="s">
        <v>756</v>
      </c>
      <c r="K280" s="84" t="s">
        <v>821</v>
      </c>
      <c r="L280" s="84" t="s">
        <v>640</v>
      </c>
      <c r="M280" s="38"/>
      <c r="N280" s="44" t="s">
        <v>23</v>
      </c>
      <c r="O280" s="39"/>
      <c r="P280" s="40" t="str">
        <f t="shared" si="3"/>
        <v>×</v>
      </c>
      <c r="Q280" s="33" t="s">
        <v>59</v>
      </c>
      <c r="S280" s="33"/>
      <c r="T280" s="33"/>
      <c r="U280" s="11"/>
    </row>
    <row r="281" hidden="1">
      <c r="A281" s="17">
        <f t="shared" si="2"/>
        <v>279</v>
      </c>
      <c r="B281" s="79" t="s">
        <v>689</v>
      </c>
      <c r="C281" s="79" t="s">
        <v>672</v>
      </c>
      <c r="D281" s="85" t="s">
        <v>819</v>
      </c>
      <c r="E281" s="80" t="s">
        <v>758</v>
      </c>
      <c r="F281" s="82"/>
      <c r="G281" s="83" t="s">
        <v>2</v>
      </c>
      <c r="H281" s="82"/>
      <c r="I281" s="82"/>
      <c r="J281" s="84" t="s">
        <v>66</v>
      </c>
      <c r="K281" s="84" t="s">
        <v>822</v>
      </c>
      <c r="L281" s="84" t="s">
        <v>760</v>
      </c>
      <c r="M281" s="38"/>
      <c r="N281" s="44" t="s">
        <v>23</v>
      </c>
      <c r="O281" s="39"/>
      <c r="P281" s="40" t="str">
        <f t="shared" si="3"/>
        <v>×</v>
      </c>
      <c r="Q281" s="33" t="s">
        <v>59</v>
      </c>
      <c r="S281" s="33"/>
      <c r="T281" s="33"/>
    </row>
    <row r="282" hidden="1">
      <c r="A282" s="17">
        <f t="shared" si="2"/>
        <v>280</v>
      </c>
      <c r="B282" s="79" t="s">
        <v>689</v>
      </c>
      <c r="C282" s="79" t="s">
        <v>675</v>
      </c>
      <c r="D282" s="85" t="s">
        <v>819</v>
      </c>
      <c r="E282" s="80" t="s">
        <v>761</v>
      </c>
      <c r="F282" s="82"/>
      <c r="G282" s="83" t="s">
        <v>2</v>
      </c>
      <c r="H282" s="82"/>
      <c r="I282" s="82"/>
      <c r="J282" s="84" t="s">
        <v>66</v>
      </c>
      <c r="K282" s="84" t="s">
        <v>823</v>
      </c>
      <c r="L282" s="84" t="s">
        <v>763</v>
      </c>
      <c r="M282" s="38"/>
      <c r="N282" s="44" t="s">
        <v>23</v>
      </c>
      <c r="O282" s="39"/>
      <c r="P282" s="40" t="str">
        <f t="shared" si="3"/>
        <v>×</v>
      </c>
      <c r="Q282" s="33" t="s">
        <v>59</v>
      </c>
      <c r="S282" s="33"/>
      <c r="T282" s="33"/>
    </row>
    <row r="283" hidden="1">
      <c r="A283" s="17">
        <f t="shared" si="2"/>
        <v>281</v>
      </c>
      <c r="B283" s="79" t="s">
        <v>689</v>
      </c>
      <c r="C283" s="79" t="s">
        <v>675</v>
      </c>
      <c r="D283" s="85" t="s">
        <v>819</v>
      </c>
      <c r="E283" s="80" t="s">
        <v>764</v>
      </c>
      <c r="F283" s="82"/>
      <c r="G283" s="83" t="s">
        <v>2</v>
      </c>
      <c r="H283" s="82"/>
      <c r="I283" s="82"/>
      <c r="J283" s="84" t="s">
        <v>66</v>
      </c>
      <c r="K283" s="84" t="s">
        <v>824</v>
      </c>
      <c r="L283" s="84" t="s">
        <v>632</v>
      </c>
      <c r="M283" s="38"/>
      <c r="N283" s="44" t="s">
        <v>23</v>
      </c>
      <c r="O283" s="39"/>
      <c r="P283" s="40" t="str">
        <f t="shared" si="3"/>
        <v>×</v>
      </c>
      <c r="Q283" s="33" t="s">
        <v>59</v>
      </c>
      <c r="S283" s="33"/>
      <c r="T283" s="33"/>
    </row>
    <row r="284" hidden="1">
      <c r="A284" s="17">
        <f t="shared" si="2"/>
        <v>282</v>
      </c>
      <c r="B284" s="79" t="s">
        <v>689</v>
      </c>
      <c r="C284" s="79" t="s">
        <v>675</v>
      </c>
      <c r="D284" s="85" t="s">
        <v>819</v>
      </c>
      <c r="E284" s="80" t="s">
        <v>766</v>
      </c>
      <c r="F284" s="82"/>
      <c r="G284" s="83" t="s">
        <v>2</v>
      </c>
      <c r="H284" s="82"/>
      <c r="I284" s="82"/>
      <c r="J284" s="84" t="s">
        <v>66</v>
      </c>
      <c r="K284" s="84" t="s">
        <v>825</v>
      </c>
      <c r="L284" s="84" t="s">
        <v>768</v>
      </c>
      <c r="M284" s="38"/>
      <c r="N284" s="44" t="s">
        <v>23</v>
      </c>
      <c r="O284" s="39"/>
      <c r="P284" s="40" t="str">
        <f t="shared" si="3"/>
        <v>×</v>
      </c>
      <c r="Q284" s="33" t="s">
        <v>59</v>
      </c>
      <c r="S284" s="33"/>
      <c r="T284" s="33"/>
    </row>
    <row r="285" hidden="1">
      <c r="A285" s="17">
        <f t="shared" si="2"/>
        <v>283</v>
      </c>
      <c r="B285" s="79" t="s">
        <v>689</v>
      </c>
      <c r="C285" s="79" t="s">
        <v>675</v>
      </c>
      <c r="D285" s="85" t="s">
        <v>819</v>
      </c>
      <c r="E285" s="80" t="s">
        <v>774</v>
      </c>
      <c r="F285" s="82"/>
      <c r="G285" s="83" t="s">
        <v>2</v>
      </c>
      <c r="H285" s="82"/>
      <c r="I285" s="82"/>
      <c r="J285" s="84" t="s">
        <v>66</v>
      </c>
      <c r="K285" s="84" t="s">
        <v>826</v>
      </c>
      <c r="L285" s="84" t="s">
        <v>776</v>
      </c>
      <c r="M285" s="38"/>
      <c r="N285" s="44" t="s">
        <v>23</v>
      </c>
      <c r="O285" s="39"/>
      <c r="P285" s="40" t="str">
        <f t="shared" si="3"/>
        <v>×</v>
      </c>
      <c r="Q285" s="33" t="s">
        <v>59</v>
      </c>
      <c r="S285" s="33"/>
      <c r="T285" s="33"/>
    </row>
    <row r="286" hidden="1">
      <c r="A286" s="17">
        <f t="shared" si="2"/>
        <v>284</v>
      </c>
      <c r="B286" s="79" t="s">
        <v>689</v>
      </c>
      <c r="C286" s="79" t="s">
        <v>675</v>
      </c>
      <c r="D286" s="85" t="s">
        <v>819</v>
      </c>
      <c r="E286" s="80" t="s">
        <v>504</v>
      </c>
      <c r="F286" s="82"/>
      <c r="G286" s="83" t="s">
        <v>2</v>
      </c>
      <c r="H286" s="82"/>
      <c r="I286" s="82"/>
      <c r="J286" s="84" t="s">
        <v>66</v>
      </c>
      <c r="K286" s="84" t="s">
        <v>827</v>
      </c>
      <c r="L286" s="84" t="s">
        <v>778</v>
      </c>
      <c r="M286" s="38"/>
      <c r="N286" s="44" t="s">
        <v>23</v>
      </c>
      <c r="O286" s="39"/>
      <c r="P286" s="40" t="str">
        <f t="shared" si="3"/>
        <v>×</v>
      </c>
      <c r="Q286" s="33" t="s">
        <v>59</v>
      </c>
      <c r="S286" s="33"/>
      <c r="T286" s="33"/>
    </row>
    <row r="287" hidden="1">
      <c r="A287" s="17">
        <f t="shared" si="2"/>
        <v>285</v>
      </c>
      <c r="B287" s="79" t="s">
        <v>689</v>
      </c>
      <c r="C287" s="79" t="s">
        <v>675</v>
      </c>
      <c r="D287" s="85" t="s">
        <v>819</v>
      </c>
      <c r="E287" s="80" t="s">
        <v>779</v>
      </c>
      <c r="F287" s="82"/>
      <c r="G287" s="83" t="s">
        <v>2</v>
      </c>
      <c r="H287" s="82"/>
      <c r="I287" s="82"/>
      <c r="J287" s="83" t="s">
        <v>66</v>
      </c>
      <c r="K287" s="84" t="s">
        <v>828</v>
      </c>
      <c r="L287" s="84" t="s">
        <v>781</v>
      </c>
      <c r="M287" s="38"/>
      <c r="N287" s="44" t="s">
        <v>23</v>
      </c>
      <c r="O287" s="39"/>
      <c r="P287" s="40" t="str">
        <f t="shared" si="3"/>
        <v>×</v>
      </c>
      <c r="Q287" s="33" t="s">
        <v>59</v>
      </c>
      <c r="S287" s="33"/>
      <c r="T287" s="33"/>
    </row>
    <row r="288" hidden="1">
      <c r="A288" s="17">
        <f t="shared" si="2"/>
        <v>286</v>
      </c>
      <c r="B288" s="79" t="s">
        <v>689</v>
      </c>
      <c r="C288" s="79" t="s">
        <v>675</v>
      </c>
      <c r="D288" s="85" t="s">
        <v>819</v>
      </c>
      <c r="E288" s="80" t="s">
        <v>646</v>
      </c>
      <c r="F288" s="82"/>
      <c r="G288" s="83" t="s">
        <v>2</v>
      </c>
      <c r="H288" s="82"/>
      <c r="I288" s="86" t="s">
        <v>647</v>
      </c>
      <c r="J288" s="83" t="s">
        <v>66</v>
      </c>
      <c r="K288" s="84" t="s">
        <v>829</v>
      </c>
      <c r="L288" s="84" t="s">
        <v>783</v>
      </c>
      <c r="M288" s="38"/>
      <c r="N288" s="44" t="s">
        <v>23</v>
      </c>
      <c r="O288" s="39"/>
      <c r="P288" s="40" t="str">
        <f t="shared" si="3"/>
        <v>×</v>
      </c>
      <c r="Q288" s="33" t="s">
        <v>59</v>
      </c>
      <c r="S288" s="33"/>
      <c r="T288" s="33"/>
    </row>
    <row r="289" hidden="1">
      <c r="A289" s="17">
        <f t="shared" si="2"/>
        <v>287</v>
      </c>
      <c r="B289" s="79" t="s">
        <v>689</v>
      </c>
      <c r="C289" s="79" t="s">
        <v>675</v>
      </c>
      <c r="D289" s="85" t="s">
        <v>819</v>
      </c>
      <c r="E289" s="80" t="s">
        <v>784</v>
      </c>
      <c r="F289" s="82"/>
      <c r="G289" s="83" t="s">
        <v>2</v>
      </c>
      <c r="H289" s="82"/>
      <c r="I289" s="82"/>
      <c r="J289" s="83" t="s">
        <v>66</v>
      </c>
      <c r="K289" s="84" t="s">
        <v>830</v>
      </c>
      <c r="L289" s="84" t="s">
        <v>652</v>
      </c>
      <c r="M289" s="38"/>
      <c r="N289" s="44" t="s">
        <v>23</v>
      </c>
      <c r="O289" s="39"/>
      <c r="P289" s="40" t="str">
        <f t="shared" si="3"/>
        <v>×</v>
      </c>
      <c r="Q289" s="33" t="s">
        <v>59</v>
      </c>
      <c r="S289" s="33"/>
      <c r="T289" s="33"/>
    </row>
    <row r="290" hidden="1">
      <c r="A290" s="17">
        <f t="shared" si="2"/>
        <v>288</v>
      </c>
      <c r="B290" s="79" t="s">
        <v>689</v>
      </c>
      <c r="C290" s="79" t="s">
        <v>675</v>
      </c>
      <c r="D290" s="85" t="s">
        <v>819</v>
      </c>
      <c r="E290" s="80" t="s">
        <v>663</v>
      </c>
      <c r="F290" s="82"/>
      <c r="G290" s="83" t="s">
        <v>2</v>
      </c>
      <c r="H290" s="82"/>
      <c r="I290" s="82"/>
      <c r="J290" s="83" t="s">
        <v>66</v>
      </c>
      <c r="K290" s="84" t="s">
        <v>831</v>
      </c>
      <c r="L290" s="84" t="s">
        <v>665</v>
      </c>
      <c r="M290" s="38"/>
      <c r="N290" s="44" t="s">
        <v>23</v>
      </c>
      <c r="O290" s="39"/>
      <c r="P290" s="40" t="str">
        <f t="shared" si="3"/>
        <v>×</v>
      </c>
      <c r="Q290" s="33" t="s">
        <v>59</v>
      </c>
      <c r="S290" s="33"/>
      <c r="T290" s="33"/>
    </row>
    <row r="291" hidden="1">
      <c r="A291" s="17">
        <f t="shared" si="2"/>
        <v>289</v>
      </c>
      <c r="B291" s="79" t="s">
        <v>689</v>
      </c>
      <c r="C291" s="79" t="s">
        <v>675</v>
      </c>
      <c r="D291" s="85" t="s">
        <v>819</v>
      </c>
      <c r="E291" s="80" t="s">
        <v>832</v>
      </c>
      <c r="F291" s="82"/>
      <c r="G291" s="83" t="s">
        <v>2</v>
      </c>
      <c r="H291" s="82"/>
      <c r="I291" s="82"/>
      <c r="J291" s="83" t="s">
        <v>66</v>
      </c>
      <c r="K291" s="84" t="s">
        <v>833</v>
      </c>
      <c r="L291" s="84" t="s">
        <v>834</v>
      </c>
      <c r="M291" s="38"/>
      <c r="N291" s="44" t="s">
        <v>23</v>
      </c>
      <c r="O291" s="39"/>
      <c r="P291" s="40" t="str">
        <f t="shared" si="3"/>
        <v>×</v>
      </c>
      <c r="Q291" s="33" t="s">
        <v>59</v>
      </c>
      <c r="S291" s="33"/>
      <c r="T291" s="33"/>
    </row>
    <row r="292" hidden="1">
      <c r="A292" s="17">
        <f t="shared" si="2"/>
        <v>290</v>
      </c>
      <c r="B292" s="79" t="s">
        <v>689</v>
      </c>
      <c r="C292" s="79" t="s">
        <v>675</v>
      </c>
      <c r="D292" s="80" t="s">
        <v>835</v>
      </c>
      <c r="E292" s="80" t="s">
        <v>835</v>
      </c>
      <c r="F292" s="84" t="s">
        <v>654</v>
      </c>
      <c r="G292" s="83" t="s">
        <v>2</v>
      </c>
      <c r="H292" s="82"/>
      <c r="I292" s="84" t="s">
        <v>657</v>
      </c>
      <c r="J292" s="83" t="s">
        <v>66</v>
      </c>
      <c r="K292" s="84" t="s">
        <v>836</v>
      </c>
      <c r="L292" s="84" t="s">
        <v>656</v>
      </c>
      <c r="M292" s="38"/>
      <c r="N292" s="44" t="s">
        <v>23</v>
      </c>
      <c r="O292" s="39"/>
      <c r="P292" s="40" t="str">
        <f t="shared" si="3"/>
        <v>×</v>
      </c>
      <c r="Q292" s="33" t="s">
        <v>59</v>
      </c>
      <c r="S292" s="33"/>
      <c r="T292" s="33"/>
    </row>
    <row r="293" hidden="1">
      <c r="A293" s="17">
        <f t="shared" si="2"/>
        <v>291</v>
      </c>
      <c r="B293" s="79" t="s">
        <v>689</v>
      </c>
      <c r="C293" s="79" t="s">
        <v>675</v>
      </c>
      <c r="D293" s="79" t="s">
        <v>835</v>
      </c>
      <c r="E293" s="85" t="s">
        <v>835</v>
      </c>
      <c r="F293" s="83" t="s">
        <v>504</v>
      </c>
      <c r="G293" s="83" t="s">
        <v>2</v>
      </c>
      <c r="H293" s="82"/>
      <c r="I293" s="84" t="s">
        <v>791</v>
      </c>
      <c r="J293" s="83" t="s">
        <v>66</v>
      </c>
      <c r="K293" s="84" t="s">
        <v>837</v>
      </c>
      <c r="L293" s="84" t="s">
        <v>778</v>
      </c>
      <c r="M293" s="38"/>
      <c r="N293" s="44" t="s">
        <v>23</v>
      </c>
      <c r="O293" s="39"/>
      <c r="P293" s="40" t="str">
        <f t="shared" si="3"/>
        <v>×</v>
      </c>
      <c r="Q293" s="33" t="s">
        <v>59</v>
      </c>
      <c r="S293" s="33"/>
      <c r="T293" s="33"/>
    </row>
    <row r="294" hidden="1">
      <c r="A294" s="17">
        <f t="shared" si="2"/>
        <v>292</v>
      </c>
      <c r="B294" s="79" t="s">
        <v>689</v>
      </c>
      <c r="C294" s="79" t="s">
        <v>675</v>
      </c>
      <c r="D294" s="79" t="s">
        <v>835</v>
      </c>
      <c r="E294" s="85" t="s">
        <v>835</v>
      </c>
      <c r="F294" s="83" t="s">
        <v>663</v>
      </c>
      <c r="G294" s="83" t="s">
        <v>2</v>
      </c>
      <c r="H294" s="82"/>
      <c r="I294" s="82"/>
      <c r="J294" s="83" t="s">
        <v>66</v>
      </c>
      <c r="K294" s="84" t="s">
        <v>838</v>
      </c>
      <c r="L294" s="84" t="s">
        <v>665</v>
      </c>
      <c r="M294" s="38"/>
      <c r="N294" s="44" t="s">
        <v>23</v>
      </c>
      <c r="O294" s="39"/>
      <c r="P294" s="40" t="str">
        <f t="shared" si="3"/>
        <v>×</v>
      </c>
      <c r="Q294" s="33" t="s">
        <v>59</v>
      </c>
      <c r="S294" s="33"/>
      <c r="T294" s="33"/>
    </row>
    <row r="295" hidden="1">
      <c r="A295" s="17">
        <f t="shared" si="2"/>
        <v>293</v>
      </c>
      <c r="B295" s="79" t="s">
        <v>689</v>
      </c>
      <c r="C295" s="79" t="s">
        <v>675</v>
      </c>
      <c r="D295" s="79" t="s">
        <v>835</v>
      </c>
      <c r="E295" s="85" t="s">
        <v>835</v>
      </c>
      <c r="F295" s="84" t="s">
        <v>839</v>
      </c>
      <c r="G295" s="83" t="s">
        <v>2</v>
      </c>
      <c r="H295" s="82"/>
      <c r="I295" s="82"/>
      <c r="J295" s="83" t="s">
        <v>66</v>
      </c>
      <c r="K295" s="84" t="s">
        <v>840</v>
      </c>
      <c r="L295" s="87" t="s">
        <v>841</v>
      </c>
      <c r="M295" s="38"/>
      <c r="N295" s="44" t="s">
        <v>23</v>
      </c>
      <c r="O295" s="39"/>
      <c r="P295" s="40" t="str">
        <f t="shared" si="3"/>
        <v>×</v>
      </c>
      <c r="Q295" s="33" t="s">
        <v>59</v>
      </c>
      <c r="S295" s="33"/>
      <c r="T295" s="78" t="s">
        <v>45</v>
      </c>
    </row>
    <row r="296" hidden="1">
      <c r="A296" s="17">
        <f t="shared" si="2"/>
        <v>294</v>
      </c>
      <c r="B296" s="79" t="s">
        <v>689</v>
      </c>
      <c r="C296" s="79" t="s">
        <v>675</v>
      </c>
      <c r="D296" s="79" t="s">
        <v>835</v>
      </c>
      <c r="E296" s="85" t="s">
        <v>835</v>
      </c>
      <c r="F296" s="83" t="s">
        <v>669</v>
      </c>
      <c r="G296" s="83" t="s">
        <v>2</v>
      </c>
      <c r="H296" s="82"/>
      <c r="I296" s="56" t="s">
        <v>842</v>
      </c>
      <c r="J296" s="83" t="s">
        <v>66</v>
      </c>
      <c r="K296" s="84" t="s">
        <v>843</v>
      </c>
      <c r="L296" s="84" t="s">
        <v>677</v>
      </c>
      <c r="M296" s="38"/>
      <c r="N296" s="44" t="s">
        <v>23</v>
      </c>
      <c r="O296" s="39"/>
      <c r="P296" s="40" t="str">
        <f t="shared" si="3"/>
        <v>×</v>
      </c>
      <c r="Q296" s="33" t="s">
        <v>59</v>
      </c>
      <c r="S296" s="33"/>
      <c r="T296" s="33"/>
    </row>
    <row r="297" hidden="1">
      <c r="A297" s="17">
        <f t="shared" si="2"/>
        <v>295</v>
      </c>
      <c r="B297" s="79" t="s">
        <v>689</v>
      </c>
      <c r="C297" s="80" t="s">
        <v>844</v>
      </c>
      <c r="D297" s="80" t="s">
        <v>845</v>
      </c>
      <c r="E297" s="81"/>
      <c r="F297" s="82"/>
      <c r="G297" s="83" t="s">
        <v>2</v>
      </c>
      <c r="H297" s="82"/>
      <c r="I297" s="84" t="s">
        <v>750</v>
      </c>
      <c r="J297" s="84" t="s">
        <v>691</v>
      </c>
      <c r="K297" s="84" t="s">
        <v>846</v>
      </c>
      <c r="L297" s="84" t="s">
        <v>847</v>
      </c>
      <c r="M297" s="38"/>
      <c r="N297" s="44" t="s">
        <v>23</v>
      </c>
      <c r="O297" s="39"/>
      <c r="P297" s="40" t="str">
        <f t="shared" si="3"/>
        <v>×</v>
      </c>
      <c r="Q297" s="33" t="s">
        <v>59</v>
      </c>
      <c r="S297" s="33"/>
      <c r="T297" s="33"/>
      <c r="U297" s="11"/>
    </row>
    <row r="298" hidden="1">
      <c r="A298" s="17">
        <f t="shared" si="2"/>
        <v>296</v>
      </c>
      <c r="B298" s="79" t="s">
        <v>689</v>
      </c>
      <c r="C298" s="79" t="s">
        <v>844</v>
      </c>
      <c r="D298" s="80" t="s">
        <v>848</v>
      </c>
      <c r="E298" s="80" t="s">
        <v>636</v>
      </c>
      <c r="F298" s="82"/>
      <c r="G298" s="83" t="s">
        <v>2</v>
      </c>
      <c r="H298" s="82"/>
      <c r="I298" s="84" t="s">
        <v>849</v>
      </c>
      <c r="J298" s="84" t="s">
        <v>756</v>
      </c>
      <c r="K298" s="84" t="s">
        <v>850</v>
      </c>
      <c r="L298" s="84" t="s">
        <v>640</v>
      </c>
      <c r="M298" s="38"/>
      <c r="N298" s="44" t="s">
        <v>23</v>
      </c>
      <c r="O298" s="39"/>
      <c r="P298" s="40" t="str">
        <f t="shared" si="3"/>
        <v>×</v>
      </c>
      <c r="Q298" s="33" t="s">
        <v>59</v>
      </c>
      <c r="S298" s="33"/>
      <c r="T298" s="33"/>
      <c r="U298" s="11"/>
    </row>
    <row r="299" hidden="1">
      <c r="A299" s="17">
        <f t="shared" si="2"/>
        <v>297</v>
      </c>
      <c r="B299" s="79" t="s">
        <v>689</v>
      </c>
      <c r="C299" s="79" t="s">
        <v>844</v>
      </c>
      <c r="D299" s="85" t="s">
        <v>848</v>
      </c>
      <c r="E299" s="80" t="s">
        <v>758</v>
      </c>
      <c r="F299" s="82"/>
      <c r="G299" s="83" t="s">
        <v>2</v>
      </c>
      <c r="H299" s="82"/>
      <c r="I299" s="82"/>
      <c r="J299" s="84" t="s">
        <v>66</v>
      </c>
      <c r="K299" s="84" t="s">
        <v>822</v>
      </c>
      <c r="L299" s="84" t="s">
        <v>760</v>
      </c>
      <c r="M299" s="38"/>
      <c r="N299" s="44" t="s">
        <v>23</v>
      </c>
      <c r="O299" s="39"/>
      <c r="P299" s="40" t="str">
        <f t="shared" si="3"/>
        <v>×</v>
      </c>
      <c r="Q299" s="33" t="s">
        <v>59</v>
      </c>
      <c r="S299" s="33"/>
      <c r="T299" s="33"/>
    </row>
    <row r="300" hidden="1">
      <c r="A300" s="17">
        <f t="shared" si="2"/>
        <v>298</v>
      </c>
      <c r="B300" s="79" t="s">
        <v>689</v>
      </c>
      <c r="C300" s="79" t="s">
        <v>844</v>
      </c>
      <c r="D300" s="85" t="s">
        <v>848</v>
      </c>
      <c r="E300" s="80" t="s">
        <v>761</v>
      </c>
      <c r="F300" s="82"/>
      <c r="G300" s="83" t="s">
        <v>2</v>
      </c>
      <c r="H300" s="82"/>
      <c r="I300" s="82"/>
      <c r="J300" s="84" t="s">
        <v>66</v>
      </c>
      <c r="K300" s="84" t="s">
        <v>823</v>
      </c>
      <c r="L300" s="84" t="s">
        <v>763</v>
      </c>
      <c r="M300" s="38"/>
      <c r="N300" s="44" t="s">
        <v>23</v>
      </c>
      <c r="O300" s="39"/>
      <c r="P300" s="40" t="str">
        <f t="shared" si="3"/>
        <v>×</v>
      </c>
      <c r="Q300" s="33" t="s">
        <v>59</v>
      </c>
      <c r="S300" s="33"/>
      <c r="T300" s="33"/>
    </row>
    <row r="301" hidden="1">
      <c r="A301" s="17">
        <f t="shared" si="2"/>
        <v>299</v>
      </c>
      <c r="B301" s="79" t="s">
        <v>689</v>
      </c>
      <c r="C301" s="79" t="s">
        <v>844</v>
      </c>
      <c r="D301" s="85" t="s">
        <v>848</v>
      </c>
      <c r="E301" s="80" t="s">
        <v>764</v>
      </c>
      <c r="F301" s="82"/>
      <c r="G301" s="83" t="s">
        <v>2</v>
      </c>
      <c r="H301" s="82"/>
      <c r="I301" s="82"/>
      <c r="J301" s="84" t="s">
        <v>66</v>
      </c>
      <c r="K301" s="84" t="s">
        <v>824</v>
      </c>
      <c r="L301" s="84" t="s">
        <v>632</v>
      </c>
      <c r="M301" s="38"/>
      <c r="N301" s="44" t="s">
        <v>23</v>
      </c>
      <c r="O301" s="39"/>
      <c r="P301" s="40" t="str">
        <f t="shared" si="3"/>
        <v>×</v>
      </c>
      <c r="Q301" s="33" t="s">
        <v>59</v>
      </c>
      <c r="S301" s="33"/>
      <c r="T301" s="33"/>
    </row>
    <row r="302" hidden="1">
      <c r="A302" s="17">
        <f t="shared" si="2"/>
        <v>300</v>
      </c>
      <c r="B302" s="79" t="s">
        <v>689</v>
      </c>
      <c r="C302" s="79" t="s">
        <v>844</v>
      </c>
      <c r="D302" s="85" t="s">
        <v>848</v>
      </c>
      <c r="E302" s="80" t="s">
        <v>766</v>
      </c>
      <c r="F302" s="82"/>
      <c r="G302" s="83" t="s">
        <v>2</v>
      </c>
      <c r="H302" s="82"/>
      <c r="I302" s="82"/>
      <c r="J302" s="84" t="s">
        <v>66</v>
      </c>
      <c r="K302" s="84" t="s">
        <v>851</v>
      </c>
      <c r="L302" s="84" t="s">
        <v>768</v>
      </c>
      <c r="M302" s="38"/>
      <c r="N302" s="44" t="s">
        <v>23</v>
      </c>
      <c r="O302" s="39"/>
      <c r="P302" s="40" t="str">
        <f t="shared" si="3"/>
        <v>×</v>
      </c>
      <c r="Q302" s="33" t="s">
        <v>59</v>
      </c>
      <c r="S302" s="33"/>
      <c r="T302" s="33"/>
    </row>
    <row r="303" hidden="1">
      <c r="A303" s="17">
        <f t="shared" si="2"/>
        <v>301</v>
      </c>
      <c r="B303" s="79" t="s">
        <v>689</v>
      </c>
      <c r="C303" s="79" t="s">
        <v>844</v>
      </c>
      <c r="D303" s="85" t="s">
        <v>848</v>
      </c>
      <c r="E303" s="80" t="s">
        <v>774</v>
      </c>
      <c r="F303" s="82"/>
      <c r="G303" s="83" t="s">
        <v>2</v>
      </c>
      <c r="H303" s="82"/>
      <c r="I303" s="82"/>
      <c r="J303" s="84" t="s">
        <v>66</v>
      </c>
      <c r="K303" s="84" t="s">
        <v>852</v>
      </c>
      <c r="L303" s="84" t="s">
        <v>776</v>
      </c>
      <c r="M303" s="38"/>
      <c r="N303" s="44" t="s">
        <v>23</v>
      </c>
      <c r="O303" s="39"/>
      <c r="P303" s="40" t="str">
        <f t="shared" si="3"/>
        <v>×</v>
      </c>
      <c r="Q303" s="33" t="s">
        <v>59</v>
      </c>
      <c r="S303" s="33"/>
      <c r="T303" s="33"/>
    </row>
    <row r="304" hidden="1">
      <c r="A304" s="17">
        <f t="shared" si="2"/>
        <v>302</v>
      </c>
      <c r="B304" s="79" t="s">
        <v>689</v>
      </c>
      <c r="C304" s="79" t="s">
        <v>844</v>
      </c>
      <c r="D304" s="85" t="s">
        <v>848</v>
      </c>
      <c r="E304" s="80" t="s">
        <v>504</v>
      </c>
      <c r="F304" s="82"/>
      <c r="G304" s="83" t="s">
        <v>2</v>
      </c>
      <c r="H304" s="82"/>
      <c r="I304" s="82"/>
      <c r="J304" s="84" t="s">
        <v>66</v>
      </c>
      <c r="K304" s="84" t="s">
        <v>853</v>
      </c>
      <c r="L304" s="84" t="s">
        <v>778</v>
      </c>
      <c r="M304" s="38"/>
      <c r="N304" s="44" t="s">
        <v>23</v>
      </c>
      <c r="O304" s="39"/>
      <c r="P304" s="40" t="str">
        <f t="shared" si="3"/>
        <v>×</v>
      </c>
      <c r="Q304" s="33" t="s">
        <v>59</v>
      </c>
      <c r="S304" s="33"/>
      <c r="T304" s="33"/>
    </row>
    <row r="305" hidden="1">
      <c r="A305" s="17">
        <f t="shared" si="2"/>
        <v>303</v>
      </c>
      <c r="B305" s="79" t="s">
        <v>689</v>
      </c>
      <c r="C305" s="79" t="s">
        <v>844</v>
      </c>
      <c r="D305" s="85" t="s">
        <v>848</v>
      </c>
      <c r="E305" s="80" t="s">
        <v>779</v>
      </c>
      <c r="F305" s="82"/>
      <c r="G305" s="83" t="s">
        <v>2</v>
      </c>
      <c r="H305" s="82"/>
      <c r="I305" s="82"/>
      <c r="J305" s="83" t="s">
        <v>66</v>
      </c>
      <c r="K305" s="84" t="s">
        <v>854</v>
      </c>
      <c r="L305" s="84" t="s">
        <v>781</v>
      </c>
      <c r="M305" s="38"/>
      <c r="N305" s="44" t="s">
        <v>23</v>
      </c>
      <c r="O305" s="39"/>
      <c r="P305" s="40" t="str">
        <f t="shared" si="3"/>
        <v>×</v>
      </c>
      <c r="Q305" s="33" t="s">
        <v>59</v>
      </c>
      <c r="S305" s="33"/>
      <c r="T305" s="33"/>
    </row>
    <row r="306" hidden="1">
      <c r="A306" s="17">
        <f t="shared" si="2"/>
        <v>304</v>
      </c>
      <c r="B306" s="79" t="s">
        <v>689</v>
      </c>
      <c r="C306" s="79" t="s">
        <v>844</v>
      </c>
      <c r="D306" s="85" t="s">
        <v>848</v>
      </c>
      <c r="E306" s="80" t="s">
        <v>646</v>
      </c>
      <c r="F306" s="82"/>
      <c r="G306" s="83" t="s">
        <v>2</v>
      </c>
      <c r="H306" s="82"/>
      <c r="I306" s="86" t="s">
        <v>647</v>
      </c>
      <c r="J306" s="83" t="s">
        <v>66</v>
      </c>
      <c r="K306" s="84" t="s">
        <v>855</v>
      </c>
      <c r="L306" s="84" t="s">
        <v>783</v>
      </c>
      <c r="M306" s="38"/>
      <c r="N306" s="44" t="s">
        <v>23</v>
      </c>
      <c r="O306" s="39"/>
      <c r="P306" s="40" t="str">
        <f t="shared" si="3"/>
        <v>×</v>
      </c>
      <c r="Q306" s="33" t="s">
        <v>59</v>
      </c>
      <c r="S306" s="33"/>
      <c r="T306" s="33"/>
    </row>
    <row r="307" hidden="1">
      <c r="A307" s="17">
        <f t="shared" si="2"/>
        <v>305</v>
      </c>
      <c r="B307" s="79" t="s">
        <v>689</v>
      </c>
      <c r="C307" s="79" t="s">
        <v>844</v>
      </c>
      <c r="D307" s="85" t="s">
        <v>848</v>
      </c>
      <c r="E307" s="80" t="s">
        <v>784</v>
      </c>
      <c r="F307" s="82"/>
      <c r="G307" s="83" t="s">
        <v>2</v>
      </c>
      <c r="H307" s="82"/>
      <c r="I307" s="82"/>
      <c r="J307" s="83" t="s">
        <v>66</v>
      </c>
      <c r="K307" s="84" t="s">
        <v>856</v>
      </c>
      <c r="L307" s="84" t="s">
        <v>652</v>
      </c>
      <c r="M307" s="38"/>
      <c r="N307" s="44" t="s">
        <v>23</v>
      </c>
      <c r="O307" s="39"/>
      <c r="P307" s="40" t="str">
        <f t="shared" si="3"/>
        <v>×</v>
      </c>
      <c r="Q307" s="33" t="s">
        <v>59</v>
      </c>
      <c r="S307" s="33"/>
      <c r="T307" s="33"/>
    </row>
    <row r="308" hidden="1">
      <c r="A308" s="17">
        <f t="shared" si="2"/>
        <v>306</v>
      </c>
      <c r="B308" s="79" t="s">
        <v>689</v>
      </c>
      <c r="C308" s="79" t="s">
        <v>844</v>
      </c>
      <c r="D308" s="85" t="s">
        <v>848</v>
      </c>
      <c r="E308" s="80" t="s">
        <v>663</v>
      </c>
      <c r="F308" s="82"/>
      <c r="G308" s="83" t="s">
        <v>2</v>
      </c>
      <c r="H308" s="82"/>
      <c r="I308" s="82"/>
      <c r="J308" s="83" t="s">
        <v>66</v>
      </c>
      <c r="K308" s="84" t="s">
        <v>857</v>
      </c>
      <c r="L308" s="84" t="s">
        <v>665</v>
      </c>
      <c r="M308" s="38"/>
      <c r="N308" s="44" t="s">
        <v>23</v>
      </c>
      <c r="O308" s="39"/>
      <c r="P308" s="40" t="str">
        <f t="shared" si="3"/>
        <v>×</v>
      </c>
      <c r="Q308" s="33" t="s">
        <v>59</v>
      </c>
      <c r="S308" s="33"/>
      <c r="T308" s="33"/>
    </row>
    <row r="309" hidden="1">
      <c r="A309" s="17">
        <f t="shared" si="2"/>
        <v>307</v>
      </c>
      <c r="B309" s="79" t="s">
        <v>689</v>
      </c>
      <c r="C309" s="79" t="s">
        <v>844</v>
      </c>
      <c r="D309" s="85" t="s">
        <v>848</v>
      </c>
      <c r="E309" s="80" t="s">
        <v>858</v>
      </c>
      <c r="F309" s="82"/>
      <c r="G309" s="83" t="s">
        <v>2</v>
      </c>
      <c r="H309" s="82"/>
      <c r="I309" s="82"/>
      <c r="J309" s="83" t="s">
        <v>66</v>
      </c>
      <c r="K309" s="84" t="s">
        <v>859</v>
      </c>
      <c r="L309" s="84" t="s">
        <v>860</v>
      </c>
      <c r="M309" s="38"/>
      <c r="N309" s="44" t="s">
        <v>23</v>
      </c>
      <c r="O309" s="39"/>
      <c r="P309" s="40" t="str">
        <f t="shared" si="3"/>
        <v>×</v>
      </c>
      <c r="Q309" s="33" t="s">
        <v>59</v>
      </c>
      <c r="S309" s="33"/>
      <c r="T309" s="33"/>
    </row>
    <row r="310" hidden="1">
      <c r="A310" s="17">
        <f t="shared" si="2"/>
        <v>308</v>
      </c>
      <c r="B310" s="79" t="s">
        <v>689</v>
      </c>
      <c r="C310" s="79" t="s">
        <v>844</v>
      </c>
      <c r="D310" s="80" t="s">
        <v>861</v>
      </c>
      <c r="E310" s="80" t="s">
        <v>861</v>
      </c>
      <c r="F310" s="84" t="s">
        <v>654</v>
      </c>
      <c r="G310" s="83" t="s">
        <v>2</v>
      </c>
      <c r="H310" s="82"/>
      <c r="I310" s="84" t="s">
        <v>657</v>
      </c>
      <c r="J310" s="83" t="s">
        <v>66</v>
      </c>
      <c r="K310" s="84" t="s">
        <v>862</v>
      </c>
      <c r="L310" s="84" t="s">
        <v>656</v>
      </c>
      <c r="M310" s="38"/>
      <c r="N310" s="44" t="s">
        <v>23</v>
      </c>
      <c r="O310" s="39"/>
      <c r="P310" s="40" t="str">
        <f t="shared" si="3"/>
        <v>×</v>
      </c>
      <c r="Q310" s="33" t="s">
        <v>59</v>
      </c>
      <c r="S310" s="33"/>
      <c r="T310" s="33"/>
    </row>
    <row r="311" hidden="1">
      <c r="A311" s="17">
        <f t="shared" si="2"/>
        <v>309</v>
      </c>
      <c r="B311" s="79" t="s">
        <v>689</v>
      </c>
      <c r="C311" s="79" t="s">
        <v>844</v>
      </c>
      <c r="D311" s="79" t="s">
        <v>861</v>
      </c>
      <c r="E311" s="85" t="s">
        <v>861</v>
      </c>
      <c r="F311" s="83" t="s">
        <v>504</v>
      </c>
      <c r="G311" s="83" t="s">
        <v>2</v>
      </c>
      <c r="H311" s="82"/>
      <c r="I311" s="84" t="s">
        <v>791</v>
      </c>
      <c r="J311" s="83" t="s">
        <v>66</v>
      </c>
      <c r="K311" s="84" t="s">
        <v>863</v>
      </c>
      <c r="L311" s="84" t="s">
        <v>778</v>
      </c>
      <c r="M311" s="38"/>
      <c r="N311" s="44" t="s">
        <v>23</v>
      </c>
      <c r="O311" s="39"/>
      <c r="P311" s="40" t="str">
        <f t="shared" si="3"/>
        <v>×</v>
      </c>
      <c r="Q311" s="33" t="s">
        <v>59</v>
      </c>
      <c r="S311" s="33"/>
      <c r="T311" s="33"/>
    </row>
    <row r="312" hidden="1">
      <c r="A312" s="17">
        <f t="shared" si="2"/>
        <v>310</v>
      </c>
      <c r="B312" s="79" t="s">
        <v>689</v>
      </c>
      <c r="C312" s="79" t="s">
        <v>844</v>
      </c>
      <c r="D312" s="79" t="s">
        <v>861</v>
      </c>
      <c r="E312" s="85" t="s">
        <v>861</v>
      </c>
      <c r="F312" s="83" t="s">
        <v>663</v>
      </c>
      <c r="G312" s="83" t="s">
        <v>2</v>
      </c>
      <c r="H312" s="82"/>
      <c r="I312" s="82"/>
      <c r="J312" s="83" t="s">
        <v>66</v>
      </c>
      <c r="K312" s="84" t="s">
        <v>864</v>
      </c>
      <c r="L312" s="84" t="s">
        <v>665</v>
      </c>
      <c r="M312" s="38"/>
      <c r="N312" s="44" t="s">
        <v>23</v>
      </c>
      <c r="O312" s="39"/>
      <c r="P312" s="40" t="str">
        <f t="shared" si="3"/>
        <v>×</v>
      </c>
      <c r="Q312" s="33" t="s">
        <v>59</v>
      </c>
      <c r="S312" s="33"/>
      <c r="T312" s="33"/>
    </row>
    <row r="313" hidden="1">
      <c r="A313" s="17">
        <f t="shared" si="2"/>
        <v>311</v>
      </c>
      <c r="B313" s="79" t="s">
        <v>689</v>
      </c>
      <c r="C313" s="79" t="s">
        <v>844</v>
      </c>
      <c r="D313" s="79" t="s">
        <v>861</v>
      </c>
      <c r="E313" s="85" t="s">
        <v>861</v>
      </c>
      <c r="F313" s="84" t="s">
        <v>839</v>
      </c>
      <c r="G313" s="83" t="s">
        <v>2</v>
      </c>
      <c r="H313" s="82"/>
      <c r="I313" s="82"/>
      <c r="J313" s="83" t="s">
        <v>66</v>
      </c>
      <c r="K313" s="84" t="s">
        <v>865</v>
      </c>
      <c r="L313" s="87" t="s">
        <v>866</v>
      </c>
      <c r="M313" s="38"/>
      <c r="N313" s="44" t="s">
        <v>23</v>
      </c>
      <c r="O313" s="39"/>
      <c r="P313" s="40" t="str">
        <f t="shared" si="3"/>
        <v>×</v>
      </c>
      <c r="Q313" s="33" t="s">
        <v>59</v>
      </c>
      <c r="S313" s="33"/>
      <c r="T313" s="78" t="s">
        <v>45</v>
      </c>
    </row>
    <row r="314" hidden="1">
      <c r="A314" s="17">
        <f t="shared" si="2"/>
        <v>312</v>
      </c>
      <c r="B314" s="79" t="s">
        <v>689</v>
      </c>
      <c r="C314" s="79" t="s">
        <v>844</v>
      </c>
      <c r="D314" s="79" t="s">
        <v>861</v>
      </c>
      <c r="E314" s="85" t="s">
        <v>861</v>
      </c>
      <c r="F314" s="83" t="s">
        <v>669</v>
      </c>
      <c r="G314" s="83" t="s">
        <v>2</v>
      </c>
      <c r="H314" s="82"/>
      <c r="I314" s="88" t="s">
        <v>867</v>
      </c>
      <c r="J314" s="83" t="s">
        <v>66</v>
      </c>
      <c r="K314" s="84" t="s">
        <v>868</v>
      </c>
      <c r="L314" s="84" t="s">
        <v>869</v>
      </c>
      <c r="M314" s="38"/>
      <c r="N314" s="44" t="s">
        <v>23</v>
      </c>
      <c r="O314" s="39"/>
      <c r="P314" s="40" t="str">
        <f t="shared" si="3"/>
        <v>×</v>
      </c>
      <c r="Q314" s="33" t="s">
        <v>59</v>
      </c>
      <c r="S314" s="33"/>
      <c r="T314" s="33"/>
    </row>
    <row r="315" hidden="1">
      <c r="A315" s="17">
        <f t="shared" si="2"/>
        <v>313</v>
      </c>
      <c r="B315" s="42" t="s">
        <v>689</v>
      </c>
      <c r="C315" s="34" t="s">
        <v>98</v>
      </c>
      <c r="D315" s="36"/>
      <c r="E315" s="36"/>
      <c r="F315" s="17"/>
      <c r="G315" s="17" t="s">
        <v>7</v>
      </c>
      <c r="H315" s="38" t="s">
        <v>463</v>
      </c>
      <c r="I315" s="38"/>
      <c r="J315" s="38" t="s">
        <v>691</v>
      </c>
      <c r="K315" s="38" t="s">
        <v>678</v>
      </c>
      <c r="L315" s="38" t="s">
        <v>100</v>
      </c>
      <c r="M315" s="38"/>
      <c r="N315" s="44" t="s">
        <v>23</v>
      </c>
      <c r="O315" s="39"/>
      <c r="P315" s="40" t="str">
        <f t="shared" si="3"/>
        <v>×</v>
      </c>
      <c r="Q315" s="33" t="s">
        <v>59</v>
      </c>
      <c r="S315" s="33"/>
      <c r="T315" s="33"/>
    </row>
    <row r="316" hidden="1">
      <c r="A316" s="17">
        <f t="shared" si="2"/>
        <v>314</v>
      </c>
      <c r="B316" s="42" t="s">
        <v>689</v>
      </c>
      <c r="C316" s="47" t="s">
        <v>98</v>
      </c>
      <c r="D316" s="36" t="s">
        <v>443</v>
      </c>
      <c r="E316" s="36"/>
      <c r="F316" s="17"/>
      <c r="G316" s="17" t="s">
        <v>7</v>
      </c>
      <c r="H316" s="38"/>
      <c r="I316" s="38" t="s">
        <v>870</v>
      </c>
      <c r="J316" s="38" t="s">
        <v>691</v>
      </c>
      <c r="K316" s="38" t="s">
        <v>680</v>
      </c>
      <c r="L316" s="38" t="s">
        <v>100</v>
      </c>
      <c r="M316" s="38"/>
      <c r="N316" s="44" t="s">
        <v>23</v>
      </c>
      <c r="O316" s="39"/>
      <c r="P316" s="40" t="str">
        <f t="shared" si="3"/>
        <v>×</v>
      </c>
      <c r="Q316" s="33" t="s">
        <v>59</v>
      </c>
      <c r="S316" s="33"/>
      <c r="T316" s="41"/>
    </row>
    <row r="317" hidden="1">
      <c r="A317" s="17">
        <f t="shared" si="2"/>
        <v>315</v>
      </c>
      <c r="B317" s="42" t="s">
        <v>689</v>
      </c>
      <c r="C317" s="47" t="s">
        <v>98</v>
      </c>
      <c r="D317" s="36" t="s">
        <v>681</v>
      </c>
      <c r="E317" s="36"/>
      <c r="F317" s="17"/>
      <c r="G317" s="17" t="s">
        <v>7</v>
      </c>
      <c r="H317" s="38"/>
      <c r="I317" s="38" t="s">
        <v>871</v>
      </c>
      <c r="J317" s="38" t="s">
        <v>691</v>
      </c>
      <c r="K317" s="38" t="s">
        <v>683</v>
      </c>
      <c r="L317" s="38" t="s">
        <v>145</v>
      </c>
      <c r="M317" s="38"/>
      <c r="N317" s="44" t="s">
        <v>23</v>
      </c>
      <c r="O317" s="39"/>
      <c r="P317" s="40" t="str">
        <f t="shared" si="3"/>
        <v>×</v>
      </c>
      <c r="Q317" s="33" t="s">
        <v>59</v>
      </c>
      <c r="S317" s="33"/>
      <c r="T317" s="33"/>
    </row>
    <row r="318" hidden="1">
      <c r="A318" s="17">
        <f t="shared" si="2"/>
        <v>316</v>
      </c>
      <c r="B318" s="42" t="s">
        <v>689</v>
      </c>
      <c r="C318" s="89" t="s">
        <v>114</v>
      </c>
      <c r="D318" s="81"/>
      <c r="E318" s="81"/>
      <c r="F318" s="82"/>
      <c r="G318" s="83" t="s">
        <v>7</v>
      </c>
      <c r="H318" s="82"/>
      <c r="I318" s="82"/>
      <c r="J318" s="38" t="s">
        <v>691</v>
      </c>
      <c r="K318" s="84" t="s">
        <v>625</v>
      </c>
      <c r="L318" s="84" t="s">
        <v>626</v>
      </c>
      <c r="M318" s="38"/>
      <c r="N318" s="44" t="s">
        <v>23</v>
      </c>
      <c r="O318" s="39"/>
      <c r="P318" s="40" t="str">
        <f t="shared" si="3"/>
        <v>×</v>
      </c>
      <c r="Q318" s="33" t="s">
        <v>59</v>
      </c>
      <c r="S318" s="41" t="s">
        <v>45</v>
      </c>
      <c r="T318" s="33"/>
    </row>
    <row r="319" hidden="1">
      <c r="A319" s="17">
        <f t="shared" si="2"/>
        <v>317</v>
      </c>
      <c r="B319" s="42" t="s">
        <v>689</v>
      </c>
      <c r="C319" s="80" t="s">
        <v>117</v>
      </c>
      <c r="D319" s="81"/>
      <c r="E319" s="81"/>
      <c r="F319" s="82"/>
      <c r="G319" s="83" t="s">
        <v>7</v>
      </c>
      <c r="H319" s="82"/>
      <c r="I319" s="82"/>
      <c r="J319" s="38" t="s">
        <v>691</v>
      </c>
      <c r="K319" s="84" t="s">
        <v>625</v>
      </c>
      <c r="L319" s="84" t="s">
        <v>627</v>
      </c>
      <c r="M319" s="38"/>
      <c r="N319" s="44" t="s">
        <v>23</v>
      </c>
      <c r="O319" s="39"/>
      <c r="P319" s="40" t="str">
        <f t="shared" si="3"/>
        <v>×</v>
      </c>
      <c r="Q319" s="33" t="s">
        <v>59</v>
      </c>
      <c r="S319" s="41" t="s">
        <v>45</v>
      </c>
      <c r="T319" s="33"/>
    </row>
    <row r="320" hidden="1">
      <c r="A320" s="17">
        <f t="shared" si="2"/>
        <v>318</v>
      </c>
      <c r="B320" s="42" t="s">
        <v>689</v>
      </c>
      <c r="C320" s="36" t="s">
        <v>577</v>
      </c>
      <c r="D320" s="36"/>
      <c r="E320" s="36"/>
      <c r="F320" s="17"/>
      <c r="G320" s="17" t="s">
        <v>8</v>
      </c>
      <c r="H320" s="38"/>
      <c r="I320" s="38"/>
      <c r="J320" s="38" t="s">
        <v>691</v>
      </c>
      <c r="K320" s="38" t="s">
        <v>685</v>
      </c>
      <c r="L320" s="38" t="s">
        <v>686</v>
      </c>
      <c r="M320" s="38"/>
      <c r="N320" s="44" t="s">
        <v>23</v>
      </c>
      <c r="O320" s="39"/>
      <c r="P320" s="40" t="str">
        <f t="shared" si="3"/>
        <v>×</v>
      </c>
      <c r="Q320" s="33" t="s">
        <v>59</v>
      </c>
      <c r="S320" s="41"/>
      <c r="T320" s="33"/>
    </row>
    <row r="321" hidden="1">
      <c r="A321" s="17">
        <f t="shared" si="2"/>
        <v>319</v>
      </c>
      <c r="B321" s="42" t="s">
        <v>689</v>
      </c>
      <c r="C321" s="36" t="s">
        <v>405</v>
      </c>
      <c r="D321" s="36"/>
      <c r="E321" s="36"/>
      <c r="F321" s="17"/>
      <c r="G321" s="17" t="s">
        <v>2</v>
      </c>
      <c r="H321" s="38"/>
      <c r="I321" s="38"/>
      <c r="J321" s="38" t="s">
        <v>691</v>
      </c>
      <c r="K321" s="38" t="s">
        <v>687</v>
      </c>
      <c r="L321" s="38" t="s">
        <v>688</v>
      </c>
      <c r="M321" s="38"/>
      <c r="N321" s="44" t="s">
        <v>23</v>
      </c>
      <c r="O321" s="39"/>
      <c r="P321" s="40" t="str">
        <f t="shared" si="3"/>
        <v>×</v>
      </c>
      <c r="Q321" s="33" t="s">
        <v>59</v>
      </c>
      <c r="S321" s="33"/>
      <c r="T321" s="33"/>
    </row>
    <row r="322" hidden="1">
      <c r="A322" s="17">
        <f t="shared" si="2"/>
        <v>320</v>
      </c>
      <c r="B322" s="42" t="s">
        <v>689</v>
      </c>
      <c r="C322" s="36" t="s">
        <v>504</v>
      </c>
      <c r="D322" s="36"/>
      <c r="E322" s="36"/>
      <c r="F322" s="17" t="s">
        <v>872</v>
      </c>
      <c r="G322" s="17" t="s">
        <v>2</v>
      </c>
      <c r="H322" s="38"/>
      <c r="I322" s="38" t="s">
        <v>873</v>
      </c>
      <c r="J322" s="38" t="s">
        <v>691</v>
      </c>
      <c r="K322" s="38" t="s">
        <v>578</v>
      </c>
      <c r="L322" s="38" t="s">
        <v>579</v>
      </c>
      <c r="M322" s="38"/>
      <c r="N322" s="44" t="s">
        <v>23</v>
      </c>
      <c r="O322" s="39"/>
      <c r="P322" s="40" t="str">
        <f t="shared" si="3"/>
        <v>×</v>
      </c>
      <c r="Q322" s="33" t="s">
        <v>59</v>
      </c>
      <c r="S322" s="33"/>
      <c r="T322" s="33"/>
    </row>
    <row r="323" hidden="1">
      <c r="A323" s="17">
        <f t="shared" si="2"/>
        <v>321</v>
      </c>
      <c r="B323" s="42" t="s">
        <v>689</v>
      </c>
      <c r="C323" s="36" t="s">
        <v>874</v>
      </c>
      <c r="D323" s="36"/>
      <c r="E323" s="36"/>
      <c r="F323" s="17"/>
      <c r="G323" s="17" t="s">
        <v>2</v>
      </c>
      <c r="H323" s="38"/>
      <c r="I323" s="38"/>
      <c r="J323" s="38" t="s">
        <v>691</v>
      </c>
      <c r="K323" s="38" t="s">
        <v>600</v>
      </c>
      <c r="L323" s="38" t="s">
        <v>875</v>
      </c>
      <c r="M323" s="38"/>
      <c r="N323" s="44" t="s">
        <v>23</v>
      </c>
      <c r="O323" s="39"/>
      <c r="P323" s="40" t="str">
        <f t="shared" si="3"/>
        <v>×</v>
      </c>
      <c r="Q323" s="33" t="s">
        <v>59</v>
      </c>
      <c r="S323" s="33"/>
      <c r="T323" s="33"/>
    </row>
    <row r="324" hidden="1">
      <c r="A324" s="17">
        <f t="shared" si="2"/>
        <v>322</v>
      </c>
      <c r="B324" s="42" t="s">
        <v>689</v>
      </c>
      <c r="C324" s="36" t="s">
        <v>198</v>
      </c>
      <c r="D324" s="36"/>
      <c r="E324" s="36"/>
      <c r="F324" s="17"/>
      <c r="G324" s="17" t="s">
        <v>2</v>
      </c>
      <c r="H324" s="38"/>
      <c r="I324" s="38"/>
      <c r="J324" s="38" t="s">
        <v>691</v>
      </c>
      <c r="K324" s="38" t="s">
        <v>199</v>
      </c>
      <c r="L324" s="38" t="s">
        <v>876</v>
      </c>
      <c r="M324" s="38"/>
      <c r="N324" s="44" t="s">
        <v>23</v>
      </c>
      <c r="O324" s="39"/>
      <c r="P324" s="40" t="str">
        <f t="shared" si="3"/>
        <v>×</v>
      </c>
      <c r="Q324" s="33" t="s">
        <v>59</v>
      </c>
      <c r="S324" s="33"/>
      <c r="T324" s="33"/>
    </row>
    <row r="325" hidden="1">
      <c r="A325" s="17">
        <f t="shared" si="2"/>
        <v>323</v>
      </c>
      <c r="B325" s="34" t="s">
        <v>877</v>
      </c>
      <c r="C325" s="36" t="s">
        <v>878</v>
      </c>
      <c r="D325" s="36"/>
      <c r="E325" s="36"/>
      <c r="F325" s="17"/>
      <c r="G325" s="17" t="s">
        <v>2</v>
      </c>
      <c r="H325" s="38"/>
      <c r="I325" s="38"/>
      <c r="J325" s="38" t="s">
        <v>691</v>
      </c>
      <c r="K325" s="38" t="s">
        <v>879</v>
      </c>
      <c r="L325" s="38" t="s">
        <v>179</v>
      </c>
      <c r="M325" s="38"/>
      <c r="N325" s="44" t="s">
        <v>23</v>
      </c>
      <c r="O325" s="39"/>
      <c r="P325" s="40" t="str">
        <f t="shared" si="3"/>
        <v>×</v>
      </c>
      <c r="Q325" s="33" t="s">
        <v>59</v>
      </c>
      <c r="S325" s="33"/>
      <c r="T325" s="50"/>
    </row>
    <row r="326" hidden="1">
      <c r="A326" s="17">
        <f t="shared" si="2"/>
        <v>324</v>
      </c>
      <c r="B326" s="42" t="s">
        <v>877</v>
      </c>
      <c r="C326" s="36" t="s">
        <v>880</v>
      </c>
      <c r="D326" s="36"/>
      <c r="E326" s="36"/>
      <c r="F326" s="17"/>
      <c r="G326" s="17" t="s">
        <v>2</v>
      </c>
      <c r="H326" s="38"/>
      <c r="I326" s="38"/>
      <c r="J326" s="38" t="s">
        <v>691</v>
      </c>
      <c r="K326" s="38" t="s">
        <v>881</v>
      </c>
      <c r="L326" s="38" t="s">
        <v>882</v>
      </c>
      <c r="M326" s="38"/>
      <c r="N326" s="44" t="s">
        <v>23</v>
      </c>
      <c r="O326" s="39"/>
      <c r="P326" s="40" t="str">
        <f t="shared" si="3"/>
        <v>×</v>
      </c>
      <c r="Q326" s="33" t="s">
        <v>59</v>
      </c>
      <c r="S326" s="33"/>
      <c r="T326" s="50"/>
    </row>
    <row r="327" hidden="1">
      <c r="A327" s="17">
        <f t="shared" si="2"/>
        <v>325</v>
      </c>
      <c r="B327" s="42" t="s">
        <v>877</v>
      </c>
      <c r="C327" s="36" t="s">
        <v>883</v>
      </c>
      <c r="D327" s="36"/>
      <c r="E327" s="36"/>
      <c r="F327" s="17"/>
      <c r="G327" s="17" t="s">
        <v>2</v>
      </c>
      <c r="H327" s="38"/>
      <c r="I327" s="38"/>
      <c r="J327" s="38" t="s">
        <v>691</v>
      </c>
      <c r="K327" s="38" t="s">
        <v>884</v>
      </c>
      <c r="L327" s="38" t="s">
        <v>885</v>
      </c>
      <c r="M327" s="38"/>
      <c r="N327" s="44" t="s">
        <v>23</v>
      </c>
      <c r="O327" s="39"/>
      <c r="P327" s="40" t="str">
        <f t="shared" si="3"/>
        <v>×</v>
      </c>
      <c r="Q327" s="33" t="s">
        <v>59</v>
      </c>
      <c r="S327" s="33"/>
      <c r="T327" s="50"/>
    </row>
    <row r="328" hidden="1">
      <c r="A328" s="17">
        <f t="shared" si="2"/>
        <v>326</v>
      </c>
      <c r="B328" s="42" t="s">
        <v>877</v>
      </c>
      <c r="C328" s="36" t="s">
        <v>886</v>
      </c>
      <c r="D328" s="36"/>
      <c r="E328" s="36"/>
      <c r="F328" s="17"/>
      <c r="G328" s="17" t="s">
        <v>2</v>
      </c>
      <c r="H328" s="38"/>
      <c r="I328" s="38"/>
      <c r="J328" s="38" t="s">
        <v>691</v>
      </c>
      <c r="K328" s="38" t="s">
        <v>887</v>
      </c>
      <c r="L328" s="38" t="s">
        <v>888</v>
      </c>
      <c r="M328" s="38"/>
      <c r="N328" s="44" t="s">
        <v>23</v>
      </c>
      <c r="O328" s="39"/>
      <c r="P328" s="40" t="str">
        <f t="shared" si="3"/>
        <v>×</v>
      </c>
      <c r="Q328" s="33" t="s">
        <v>59</v>
      </c>
      <c r="S328" s="33"/>
      <c r="T328" s="50"/>
    </row>
    <row r="329" hidden="1">
      <c r="A329" s="17">
        <f t="shared" si="2"/>
        <v>327</v>
      </c>
      <c r="B329" s="42" t="s">
        <v>877</v>
      </c>
      <c r="C329" s="36" t="s">
        <v>889</v>
      </c>
      <c r="D329" s="36"/>
      <c r="E329" s="36"/>
      <c r="F329" s="17"/>
      <c r="G329" s="17" t="s">
        <v>2</v>
      </c>
      <c r="H329" s="38"/>
      <c r="I329" s="38"/>
      <c r="J329" s="38" t="s">
        <v>691</v>
      </c>
      <c r="K329" s="38" t="s">
        <v>890</v>
      </c>
      <c r="L329" s="38" t="s">
        <v>891</v>
      </c>
      <c r="M329" s="38"/>
      <c r="N329" s="44" t="s">
        <v>23</v>
      </c>
      <c r="O329" s="39"/>
      <c r="P329" s="40" t="str">
        <f t="shared" si="3"/>
        <v>×</v>
      </c>
      <c r="Q329" s="33" t="s">
        <v>59</v>
      </c>
      <c r="S329" s="33"/>
      <c r="T329" s="50"/>
    </row>
    <row r="330" hidden="1">
      <c r="A330" s="17">
        <f t="shared" si="2"/>
        <v>328</v>
      </c>
      <c r="B330" s="42" t="s">
        <v>877</v>
      </c>
      <c r="C330" s="36" t="s">
        <v>603</v>
      </c>
      <c r="D330" s="36" t="s">
        <v>892</v>
      </c>
      <c r="E330" s="36"/>
      <c r="F330" s="17"/>
      <c r="G330" s="17" t="s">
        <v>2</v>
      </c>
      <c r="H330" s="38"/>
      <c r="I330" s="38"/>
      <c r="J330" s="38" t="s">
        <v>691</v>
      </c>
      <c r="K330" s="38" t="s">
        <v>893</v>
      </c>
      <c r="L330" s="38" t="s">
        <v>894</v>
      </c>
      <c r="M330" s="38"/>
      <c r="N330" s="44" t="s">
        <v>23</v>
      </c>
      <c r="O330" s="39"/>
      <c r="P330" s="40" t="str">
        <f t="shared" si="3"/>
        <v>×</v>
      </c>
      <c r="Q330" s="33" t="s">
        <v>59</v>
      </c>
      <c r="S330" s="33"/>
      <c r="T330" s="50"/>
    </row>
    <row r="331" hidden="1">
      <c r="A331" s="17">
        <f t="shared" si="2"/>
        <v>329</v>
      </c>
      <c r="B331" s="42" t="s">
        <v>877</v>
      </c>
      <c r="C331" s="42" t="s">
        <v>603</v>
      </c>
      <c r="D331" s="36" t="s">
        <v>895</v>
      </c>
      <c r="E331" s="36"/>
      <c r="F331" s="17"/>
      <c r="G331" s="17" t="s">
        <v>2</v>
      </c>
      <c r="H331" s="38"/>
      <c r="I331" s="38"/>
      <c r="J331" s="38" t="s">
        <v>691</v>
      </c>
      <c r="K331" s="38" t="s">
        <v>896</v>
      </c>
      <c r="L331" s="38" t="s">
        <v>894</v>
      </c>
      <c r="M331" s="38"/>
      <c r="N331" s="44" t="s">
        <v>23</v>
      </c>
      <c r="O331" s="39"/>
      <c r="P331" s="40" t="str">
        <f t="shared" si="3"/>
        <v>×</v>
      </c>
      <c r="Q331" s="33" t="s">
        <v>59</v>
      </c>
      <c r="S331" s="33"/>
      <c r="T331" s="50"/>
    </row>
    <row r="332" hidden="1">
      <c r="A332" s="17">
        <f t="shared" si="2"/>
        <v>330</v>
      </c>
      <c r="B332" s="34" t="s">
        <v>897</v>
      </c>
      <c r="C332" s="36" t="s">
        <v>898</v>
      </c>
      <c r="D332" s="36"/>
      <c r="E332" s="36"/>
      <c r="F332" s="17"/>
      <c r="G332" s="17" t="s">
        <v>7</v>
      </c>
      <c r="H332" s="38"/>
      <c r="I332" s="38"/>
      <c r="J332" s="38" t="s">
        <v>899</v>
      </c>
      <c r="K332" s="38" t="s">
        <v>900</v>
      </c>
      <c r="L332" s="38" t="s">
        <v>688</v>
      </c>
      <c r="M332" s="38"/>
      <c r="N332" s="44" t="s">
        <v>23</v>
      </c>
      <c r="O332" s="39"/>
      <c r="P332" s="40" t="str">
        <f t="shared" si="3"/>
        <v>×</v>
      </c>
      <c r="Q332" s="33" t="s">
        <v>59</v>
      </c>
      <c r="S332" s="33"/>
      <c r="T332" s="50"/>
    </row>
    <row r="333" hidden="1">
      <c r="A333" s="17">
        <f t="shared" si="2"/>
        <v>331</v>
      </c>
      <c r="B333" s="42" t="s">
        <v>897</v>
      </c>
      <c r="C333" s="34" t="s">
        <v>901</v>
      </c>
      <c r="D333" s="34" t="s">
        <v>504</v>
      </c>
      <c r="E333" s="36" t="s">
        <v>89</v>
      </c>
      <c r="F333" s="38" t="s">
        <v>616</v>
      </c>
      <c r="G333" s="17" t="s">
        <v>2</v>
      </c>
      <c r="H333" s="38" t="s">
        <v>607</v>
      </c>
      <c r="I333" s="46"/>
      <c r="J333" s="38" t="s">
        <v>899</v>
      </c>
      <c r="K333" s="38" t="s">
        <v>902</v>
      </c>
      <c r="L333" s="38" t="s">
        <v>91</v>
      </c>
      <c r="M333" s="38"/>
      <c r="N333" s="44" t="s">
        <v>23</v>
      </c>
      <c r="O333" s="39"/>
      <c r="P333" s="40" t="str">
        <f t="shared" si="3"/>
        <v>×</v>
      </c>
      <c r="Q333" s="33" t="s">
        <v>59</v>
      </c>
      <c r="S333" s="33"/>
      <c r="T333" s="90"/>
    </row>
    <row r="334" hidden="1">
      <c r="A334" s="17">
        <f t="shared" si="2"/>
        <v>332</v>
      </c>
      <c r="B334" s="42" t="s">
        <v>897</v>
      </c>
      <c r="C334" s="42" t="s">
        <v>901</v>
      </c>
      <c r="D334" s="42" t="s">
        <v>504</v>
      </c>
      <c r="E334" s="36" t="s">
        <v>92</v>
      </c>
      <c r="F334" s="17"/>
      <c r="G334" s="17" t="s">
        <v>2</v>
      </c>
      <c r="H334" s="38"/>
      <c r="I334" s="46"/>
      <c r="J334" s="38" t="s">
        <v>66</v>
      </c>
      <c r="K334" s="38" t="s">
        <v>903</v>
      </c>
      <c r="L334" s="38" t="s">
        <v>94</v>
      </c>
      <c r="M334" s="38"/>
      <c r="N334" s="44" t="s">
        <v>23</v>
      </c>
      <c r="O334" s="39"/>
      <c r="P334" s="40" t="str">
        <f t="shared" si="3"/>
        <v>×</v>
      </c>
      <c r="Q334" s="33" t="s">
        <v>59</v>
      </c>
      <c r="S334" s="33"/>
      <c r="T334" s="90"/>
    </row>
    <row r="335" hidden="1">
      <c r="A335" s="17">
        <f t="shared" si="2"/>
        <v>333</v>
      </c>
      <c r="B335" s="42" t="s">
        <v>897</v>
      </c>
      <c r="C335" s="42" t="s">
        <v>901</v>
      </c>
      <c r="D335" s="34" t="s">
        <v>904</v>
      </c>
      <c r="E335" s="36"/>
      <c r="F335" s="17"/>
      <c r="G335" s="17" t="s">
        <v>2</v>
      </c>
      <c r="H335" s="38"/>
      <c r="I335" s="46"/>
      <c r="J335" s="38" t="s">
        <v>66</v>
      </c>
      <c r="K335" s="38" t="s">
        <v>905</v>
      </c>
      <c r="L335" s="38" t="s">
        <v>621</v>
      </c>
      <c r="M335" s="38"/>
      <c r="N335" s="44" t="s">
        <v>23</v>
      </c>
      <c r="O335" s="39"/>
      <c r="P335" s="40" t="str">
        <f t="shared" si="3"/>
        <v>×</v>
      </c>
      <c r="Q335" s="33" t="s">
        <v>59</v>
      </c>
      <c r="S335" s="33"/>
      <c r="T335" s="90"/>
    </row>
    <row r="336" hidden="1">
      <c r="A336" s="17">
        <f t="shared" si="2"/>
        <v>334</v>
      </c>
      <c r="B336" s="42" t="s">
        <v>897</v>
      </c>
      <c r="C336" s="42" t="s">
        <v>901</v>
      </c>
      <c r="D336" s="34" t="s">
        <v>622</v>
      </c>
      <c r="E336" s="36"/>
      <c r="F336" s="17"/>
      <c r="G336" s="17" t="s">
        <v>2</v>
      </c>
      <c r="H336" s="38"/>
      <c r="I336" s="38" t="s">
        <v>95</v>
      </c>
      <c r="J336" s="38" t="s">
        <v>66</v>
      </c>
      <c r="K336" s="38" t="s">
        <v>906</v>
      </c>
      <c r="L336" s="38" t="s">
        <v>624</v>
      </c>
      <c r="M336" s="38"/>
      <c r="N336" s="44" t="s">
        <v>23</v>
      </c>
      <c r="O336" s="39"/>
      <c r="P336" s="40" t="str">
        <f t="shared" si="3"/>
        <v>×</v>
      </c>
      <c r="Q336" s="33" t="s">
        <v>59</v>
      </c>
      <c r="S336" s="33"/>
      <c r="T336" s="90"/>
    </row>
    <row r="337" hidden="1">
      <c r="A337" s="17">
        <f t="shared" si="2"/>
        <v>335</v>
      </c>
      <c r="B337" s="42" t="s">
        <v>897</v>
      </c>
      <c r="C337" s="34" t="s">
        <v>60</v>
      </c>
      <c r="D337" s="36" t="s">
        <v>32</v>
      </c>
      <c r="E337" s="36"/>
      <c r="F337" s="17"/>
      <c r="G337" s="17" t="s">
        <v>2</v>
      </c>
      <c r="H337" s="38"/>
      <c r="I337" s="38"/>
      <c r="J337" s="38" t="s">
        <v>899</v>
      </c>
      <c r="K337" s="38" t="s">
        <v>907</v>
      </c>
      <c r="L337" s="38" t="s">
        <v>908</v>
      </c>
      <c r="M337" s="38"/>
      <c r="N337" s="44" t="s">
        <v>23</v>
      </c>
      <c r="O337" s="13"/>
      <c r="P337" s="40" t="str">
        <f t="shared" si="3"/>
        <v>×</v>
      </c>
      <c r="Q337" s="33" t="s">
        <v>59</v>
      </c>
      <c r="S337" s="33"/>
      <c r="T337" s="41"/>
    </row>
    <row r="338" hidden="1">
      <c r="A338" s="17">
        <f t="shared" si="2"/>
        <v>336</v>
      </c>
      <c r="B338" s="42" t="s">
        <v>897</v>
      </c>
      <c r="C338" s="47" t="s">
        <v>60</v>
      </c>
      <c r="D338" s="45" t="s">
        <v>32</v>
      </c>
      <c r="E338" s="36" t="s">
        <v>909</v>
      </c>
      <c r="F338" s="17"/>
      <c r="G338" s="17" t="s">
        <v>2</v>
      </c>
      <c r="H338" s="38"/>
      <c r="I338" s="38" t="s">
        <v>910</v>
      </c>
      <c r="J338" s="38" t="s">
        <v>899</v>
      </c>
      <c r="K338" s="38" t="s">
        <v>911</v>
      </c>
      <c r="L338" s="38" t="s">
        <v>100</v>
      </c>
      <c r="M338" s="38"/>
      <c r="N338" s="44" t="s">
        <v>23</v>
      </c>
      <c r="O338" s="13"/>
      <c r="P338" s="40" t="str">
        <f t="shared" si="3"/>
        <v>×</v>
      </c>
      <c r="Q338" s="33" t="s">
        <v>59</v>
      </c>
      <c r="S338" s="33"/>
      <c r="T338" s="33"/>
    </row>
    <row r="339" hidden="1">
      <c r="A339" s="17">
        <f t="shared" si="2"/>
        <v>337</v>
      </c>
      <c r="B339" s="42" t="s">
        <v>897</v>
      </c>
      <c r="C339" s="47" t="s">
        <v>60</v>
      </c>
      <c r="D339" s="45" t="s">
        <v>32</v>
      </c>
      <c r="E339" s="36" t="s">
        <v>912</v>
      </c>
      <c r="F339" s="17"/>
      <c r="G339" s="17" t="s">
        <v>2</v>
      </c>
      <c r="H339" s="38"/>
      <c r="I339" s="38" t="s">
        <v>913</v>
      </c>
      <c r="J339" s="38" t="s">
        <v>899</v>
      </c>
      <c r="K339" s="38" t="s">
        <v>914</v>
      </c>
      <c r="L339" s="38" t="s">
        <v>145</v>
      </c>
      <c r="M339" s="38"/>
      <c r="N339" s="44" t="s">
        <v>23</v>
      </c>
      <c r="O339" s="13"/>
      <c r="P339" s="40" t="str">
        <f t="shared" si="3"/>
        <v>×</v>
      </c>
      <c r="Q339" s="33" t="s">
        <v>59</v>
      </c>
      <c r="S339" s="33"/>
      <c r="T339" s="33"/>
    </row>
    <row r="340" hidden="1">
      <c r="A340" s="17">
        <f t="shared" si="2"/>
        <v>338</v>
      </c>
      <c r="B340" s="42" t="s">
        <v>897</v>
      </c>
      <c r="C340" s="47" t="s">
        <v>60</v>
      </c>
      <c r="D340" s="45" t="s">
        <v>32</v>
      </c>
      <c r="E340" s="36" t="s">
        <v>474</v>
      </c>
      <c r="F340" s="17"/>
      <c r="G340" s="17" t="s">
        <v>2</v>
      </c>
      <c r="H340" s="38"/>
      <c r="I340" s="38"/>
      <c r="J340" s="38" t="s">
        <v>899</v>
      </c>
      <c r="K340" s="38" t="s">
        <v>915</v>
      </c>
      <c r="L340" s="38" t="s">
        <v>476</v>
      </c>
      <c r="M340" s="38"/>
      <c r="N340" s="44" t="s">
        <v>23</v>
      </c>
      <c r="O340" s="13"/>
      <c r="P340" s="40" t="str">
        <f t="shared" si="3"/>
        <v>×</v>
      </c>
      <c r="Q340" s="33" t="s">
        <v>59</v>
      </c>
      <c r="S340" s="33"/>
      <c r="T340" s="33" t="s">
        <v>45</v>
      </c>
    </row>
    <row r="341" hidden="1">
      <c r="A341" s="17">
        <f t="shared" si="2"/>
        <v>339</v>
      </c>
      <c r="B341" s="42" t="s">
        <v>897</v>
      </c>
      <c r="C341" s="42" t="s">
        <v>60</v>
      </c>
      <c r="D341" s="36" t="s">
        <v>916</v>
      </c>
      <c r="E341" s="36"/>
      <c r="F341" s="17"/>
      <c r="G341" s="17" t="s">
        <v>2</v>
      </c>
      <c r="H341" s="38"/>
      <c r="I341" s="38"/>
      <c r="J341" s="38" t="s">
        <v>917</v>
      </c>
      <c r="K341" s="38" t="s">
        <v>918</v>
      </c>
      <c r="L341" s="38" t="s">
        <v>919</v>
      </c>
      <c r="M341" s="38"/>
      <c r="N341" s="44" t="s">
        <v>23</v>
      </c>
      <c r="O341" s="13"/>
      <c r="P341" s="40" t="str">
        <f t="shared" si="3"/>
        <v>×</v>
      </c>
      <c r="Q341" s="33" t="s">
        <v>59</v>
      </c>
      <c r="S341" s="33"/>
      <c r="T341" s="33"/>
    </row>
    <row r="342" hidden="1">
      <c r="A342" s="17">
        <f t="shared" si="2"/>
        <v>340</v>
      </c>
      <c r="B342" s="42" t="s">
        <v>897</v>
      </c>
      <c r="C342" s="42" t="s">
        <v>60</v>
      </c>
      <c r="D342" s="36" t="s">
        <v>519</v>
      </c>
      <c r="E342" s="36"/>
      <c r="F342" s="17"/>
      <c r="G342" s="17" t="s">
        <v>2</v>
      </c>
      <c r="H342" s="38"/>
      <c r="I342" s="38"/>
      <c r="J342" s="38" t="s">
        <v>899</v>
      </c>
      <c r="K342" s="38" t="s">
        <v>920</v>
      </c>
      <c r="L342" s="38" t="s">
        <v>921</v>
      </c>
      <c r="M342" s="38"/>
      <c r="N342" s="44" t="s">
        <v>23</v>
      </c>
      <c r="O342" s="13"/>
      <c r="P342" s="40" t="str">
        <f t="shared" si="3"/>
        <v>×</v>
      </c>
      <c r="Q342" s="33" t="s">
        <v>59</v>
      </c>
      <c r="S342" s="33"/>
      <c r="T342" s="33"/>
    </row>
    <row r="343" hidden="1">
      <c r="A343" s="17">
        <f t="shared" si="2"/>
        <v>341</v>
      </c>
      <c r="B343" s="42" t="s">
        <v>897</v>
      </c>
      <c r="C343" s="42" t="s">
        <v>60</v>
      </c>
      <c r="D343" s="36" t="s">
        <v>922</v>
      </c>
      <c r="E343" s="36"/>
      <c r="F343" s="17"/>
      <c r="G343" s="17" t="s">
        <v>2</v>
      </c>
      <c r="H343" s="38"/>
      <c r="I343" s="38"/>
      <c r="J343" s="38" t="s">
        <v>923</v>
      </c>
      <c r="K343" s="38" t="s">
        <v>924</v>
      </c>
      <c r="L343" s="38" t="s">
        <v>925</v>
      </c>
      <c r="M343" s="38"/>
      <c r="N343" s="44" t="s">
        <v>23</v>
      </c>
      <c r="O343" s="13"/>
      <c r="P343" s="40" t="str">
        <f t="shared" si="3"/>
        <v>×</v>
      </c>
      <c r="Q343" s="33" t="s">
        <v>59</v>
      </c>
      <c r="S343" s="33"/>
      <c r="T343" s="33"/>
    </row>
    <row r="344" hidden="1">
      <c r="A344" s="17">
        <f t="shared" si="2"/>
        <v>342</v>
      </c>
      <c r="B344" s="42" t="s">
        <v>897</v>
      </c>
      <c r="C344" s="42" t="s">
        <v>60</v>
      </c>
      <c r="D344" s="36" t="s">
        <v>926</v>
      </c>
      <c r="E344" s="36"/>
      <c r="F344" s="17"/>
      <c r="G344" s="17" t="s">
        <v>2</v>
      </c>
      <c r="H344" s="38"/>
      <c r="I344" s="38" t="s">
        <v>927</v>
      </c>
      <c r="J344" s="38" t="s">
        <v>899</v>
      </c>
      <c r="K344" s="38" t="s">
        <v>928</v>
      </c>
      <c r="L344" s="38" t="s">
        <v>929</v>
      </c>
      <c r="M344" s="38"/>
      <c r="N344" s="44" t="s">
        <v>23</v>
      </c>
      <c r="O344" s="13"/>
      <c r="P344" s="40" t="str">
        <f t="shared" si="3"/>
        <v>×</v>
      </c>
      <c r="Q344" s="33" t="s">
        <v>59</v>
      </c>
      <c r="S344" s="33"/>
      <c r="T344" s="33"/>
    </row>
    <row r="345" hidden="1">
      <c r="A345" s="17">
        <f t="shared" si="2"/>
        <v>343</v>
      </c>
      <c r="B345" s="42" t="s">
        <v>897</v>
      </c>
      <c r="C345" s="42" t="s">
        <v>60</v>
      </c>
      <c r="D345" s="36" t="s">
        <v>930</v>
      </c>
      <c r="E345" s="36"/>
      <c r="F345" s="17"/>
      <c r="G345" s="17" t="s">
        <v>2</v>
      </c>
      <c r="H345" s="38"/>
      <c r="I345" s="38"/>
      <c r="J345" s="38" t="s">
        <v>899</v>
      </c>
      <c r="K345" s="38" t="s">
        <v>931</v>
      </c>
      <c r="L345" s="38" t="s">
        <v>932</v>
      </c>
      <c r="M345" s="38"/>
      <c r="N345" s="44" t="s">
        <v>23</v>
      </c>
      <c r="O345" s="13"/>
      <c r="P345" s="40" t="str">
        <f t="shared" si="3"/>
        <v>×</v>
      </c>
      <c r="Q345" s="33" t="s">
        <v>59</v>
      </c>
      <c r="S345" s="33"/>
      <c r="T345" s="33"/>
    </row>
    <row r="346" hidden="1">
      <c r="A346" s="17">
        <f t="shared" si="2"/>
        <v>344</v>
      </c>
      <c r="B346" s="42" t="s">
        <v>897</v>
      </c>
      <c r="C346" s="42" t="s">
        <v>60</v>
      </c>
      <c r="D346" s="36" t="s">
        <v>933</v>
      </c>
      <c r="E346" s="36"/>
      <c r="F346" s="17"/>
      <c r="G346" s="17" t="s">
        <v>2</v>
      </c>
      <c r="H346" s="38"/>
      <c r="I346" s="38"/>
      <c r="J346" s="38" t="s">
        <v>899</v>
      </c>
      <c r="K346" s="38" t="s">
        <v>934</v>
      </c>
      <c r="L346" s="38" t="s">
        <v>935</v>
      </c>
      <c r="M346" s="38"/>
      <c r="N346" s="44" t="s">
        <v>23</v>
      </c>
      <c r="O346" s="13"/>
      <c r="P346" s="40" t="str">
        <f t="shared" si="3"/>
        <v>×</v>
      </c>
      <c r="Q346" s="33" t="s">
        <v>59</v>
      </c>
      <c r="S346" s="33"/>
      <c r="T346" s="33"/>
    </row>
    <row r="347" hidden="1">
      <c r="A347" s="17">
        <f t="shared" si="2"/>
        <v>345</v>
      </c>
      <c r="B347" s="42" t="s">
        <v>897</v>
      </c>
      <c r="C347" s="42" t="s">
        <v>60</v>
      </c>
      <c r="D347" s="36" t="s">
        <v>936</v>
      </c>
      <c r="E347" s="36"/>
      <c r="F347" s="17"/>
      <c r="G347" s="17" t="s">
        <v>2</v>
      </c>
      <c r="H347" s="38"/>
      <c r="I347" s="38"/>
      <c r="J347" s="38" t="s">
        <v>899</v>
      </c>
      <c r="K347" s="38" t="s">
        <v>937</v>
      </c>
      <c r="L347" s="38" t="s">
        <v>938</v>
      </c>
      <c r="M347" s="38"/>
      <c r="N347" s="44" t="s">
        <v>23</v>
      </c>
      <c r="O347" s="13"/>
      <c r="P347" s="40" t="str">
        <f t="shared" si="3"/>
        <v>×</v>
      </c>
      <c r="Q347" s="33" t="s">
        <v>59</v>
      </c>
      <c r="S347" s="33"/>
      <c r="T347" s="33"/>
    </row>
    <row r="348" hidden="1">
      <c r="A348" s="17">
        <f t="shared" si="2"/>
        <v>346</v>
      </c>
      <c r="B348" s="42" t="s">
        <v>897</v>
      </c>
      <c r="C348" s="42" t="s">
        <v>60</v>
      </c>
      <c r="D348" s="36" t="s">
        <v>278</v>
      </c>
      <c r="E348" s="36"/>
      <c r="F348" s="17"/>
      <c r="G348" s="17" t="s">
        <v>2</v>
      </c>
      <c r="H348" s="38"/>
      <c r="I348" s="38"/>
      <c r="J348" s="38" t="s">
        <v>899</v>
      </c>
      <c r="K348" s="38" t="s">
        <v>939</v>
      </c>
      <c r="L348" s="38" t="s">
        <v>940</v>
      </c>
      <c r="M348" s="38"/>
      <c r="N348" s="44" t="s">
        <v>23</v>
      </c>
      <c r="O348" s="13"/>
      <c r="P348" s="40" t="str">
        <f t="shared" si="3"/>
        <v>×</v>
      </c>
      <c r="Q348" s="33" t="s">
        <v>59</v>
      </c>
      <c r="S348" s="33"/>
      <c r="T348" s="33"/>
    </row>
    <row r="349" hidden="1">
      <c r="A349" s="17">
        <f t="shared" si="2"/>
        <v>347</v>
      </c>
      <c r="B349" s="42" t="s">
        <v>897</v>
      </c>
      <c r="C349" s="42" t="s">
        <v>60</v>
      </c>
      <c r="D349" s="36" t="s">
        <v>232</v>
      </c>
      <c r="E349" s="36"/>
      <c r="F349" s="17"/>
      <c r="G349" s="17" t="s">
        <v>2</v>
      </c>
      <c r="H349" s="38"/>
      <c r="I349" s="38"/>
      <c r="J349" s="38" t="s">
        <v>899</v>
      </c>
      <c r="K349" s="38" t="s">
        <v>941</v>
      </c>
      <c r="L349" s="38" t="s">
        <v>942</v>
      </c>
      <c r="M349" s="38"/>
      <c r="N349" s="44" t="s">
        <v>23</v>
      </c>
      <c r="O349" s="13"/>
      <c r="P349" s="40" t="str">
        <f t="shared" si="3"/>
        <v>×</v>
      </c>
      <c r="Q349" s="33" t="s">
        <v>59</v>
      </c>
      <c r="S349" s="33"/>
      <c r="T349" s="33"/>
    </row>
    <row r="350" hidden="1">
      <c r="A350" s="17">
        <f t="shared" si="2"/>
        <v>348</v>
      </c>
      <c r="B350" s="42" t="s">
        <v>897</v>
      </c>
      <c r="C350" s="42" t="s">
        <v>60</v>
      </c>
      <c r="D350" s="36" t="s">
        <v>454</v>
      </c>
      <c r="E350" s="36"/>
      <c r="F350" s="17"/>
      <c r="G350" s="17" t="s">
        <v>2</v>
      </c>
      <c r="H350" s="38"/>
      <c r="I350" s="38"/>
      <c r="J350" s="38" t="s">
        <v>899</v>
      </c>
      <c r="K350" s="38" t="s">
        <v>943</v>
      </c>
      <c r="L350" s="38" t="s">
        <v>944</v>
      </c>
      <c r="M350" s="38"/>
      <c r="N350" s="44" t="s">
        <v>23</v>
      </c>
      <c r="O350" s="13"/>
      <c r="P350" s="40" t="str">
        <f t="shared" si="3"/>
        <v>×</v>
      </c>
      <c r="Q350" s="33" t="s">
        <v>59</v>
      </c>
      <c r="S350" s="33"/>
      <c r="T350" s="33"/>
    </row>
    <row r="351" hidden="1">
      <c r="A351" s="17">
        <f t="shared" si="2"/>
        <v>349</v>
      </c>
      <c r="B351" s="42" t="s">
        <v>897</v>
      </c>
      <c r="C351" s="42" t="s">
        <v>60</v>
      </c>
      <c r="D351" s="36" t="s">
        <v>945</v>
      </c>
      <c r="E351" s="36" t="s">
        <v>198</v>
      </c>
      <c r="F351" s="17"/>
      <c r="G351" s="17" t="s">
        <v>2</v>
      </c>
      <c r="H351" s="38"/>
      <c r="I351" s="38"/>
      <c r="J351" s="38" t="s">
        <v>899</v>
      </c>
      <c r="K351" s="38" t="s">
        <v>946</v>
      </c>
      <c r="L351" s="38" t="s">
        <v>947</v>
      </c>
      <c r="M351" s="38"/>
      <c r="N351" s="44" t="s">
        <v>23</v>
      </c>
      <c r="O351" s="13"/>
      <c r="P351" s="40" t="str">
        <f t="shared" si="3"/>
        <v>×</v>
      </c>
      <c r="Q351" s="33" t="s">
        <v>59</v>
      </c>
      <c r="S351" s="33"/>
      <c r="T351" s="33"/>
    </row>
    <row r="352" hidden="1">
      <c r="A352" s="17">
        <f t="shared" si="2"/>
        <v>350</v>
      </c>
      <c r="B352" s="42" t="s">
        <v>897</v>
      </c>
      <c r="C352" s="34" t="s">
        <v>612</v>
      </c>
      <c r="D352" s="36" t="s">
        <v>32</v>
      </c>
      <c r="E352" s="36"/>
      <c r="F352" s="17"/>
      <c r="G352" s="17" t="s">
        <v>2</v>
      </c>
      <c r="H352" s="38"/>
      <c r="I352" s="38"/>
      <c r="J352" s="38" t="s">
        <v>899</v>
      </c>
      <c r="K352" s="38" t="s">
        <v>948</v>
      </c>
      <c r="L352" s="38" t="s">
        <v>949</v>
      </c>
      <c r="M352" s="38"/>
      <c r="N352" s="44" t="s">
        <v>23</v>
      </c>
      <c r="O352" s="13"/>
      <c r="P352" s="40" t="str">
        <f t="shared" si="3"/>
        <v>×</v>
      </c>
      <c r="Q352" s="33" t="s">
        <v>59</v>
      </c>
      <c r="S352" s="33"/>
      <c r="T352" s="33"/>
    </row>
    <row r="353" hidden="1">
      <c r="A353" s="17">
        <f t="shared" si="2"/>
        <v>351</v>
      </c>
      <c r="B353" s="42" t="s">
        <v>897</v>
      </c>
      <c r="C353" s="47" t="s">
        <v>612</v>
      </c>
      <c r="D353" s="45" t="s">
        <v>32</v>
      </c>
      <c r="E353" s="36" t="s">
        <v>909</v>
      </c>
      <c r="F353" s="17"/>
      <c r="G353" s="17" t="s">
        <v>2</v>
      </c>
      <c r="H353" s="38"/>
      <c r="I353" s="38" t="s">
        <v>950</v>
      </c>
      <c r="J353" s="38" t="s">
        <v>899</v>
      </c>
      <c r="K353" s="38" t="s">
        <v>951</v>
      </c>
      <c r="L353" s="38" t="s">
        <v>952</v>
      </c>
      <c r="M353" s="38"/>
      <c r="N353" s="44" t="s">
        <v>23</v>
      </c>
      <c r="O353" s="13"/>
      <c r="P353" s="40" t="str">
        <f t="shared" si="3"/>
        <v>×</v>
      </c>
      <c r="Q353" s="33" t="s">
        <v>59</v>
      </c>
      <c r="S353" s="33"/>
      <c r="T353" s="33"/>
    </row>
    <row r="354" hidden="1">
      <c r="A354" s="17">
        <f t="shared" si="2"/>
        <v>352</v>
      </c>
      <c r="B354" s="42" t="s">
        <v>897</v>
      </c>
      <c r="C354" s="47" t="s">
        <v>612</v>
      </c>
      <c r="D354" s="45" t="s">
        <v>32</v>
      </c>
      <c r="E354" s="36" t="s">
        <v>912</v>
      </c>
      <c r="F354" s="17"/>
      <c r="G354" s="17" t="s">
        <v>2</v>
      </c>
      <c r="H354" s="38"/>
      <c r="I354" s="38" t="s">
        <v>953</v>
      </c>
      <c r="J354" s="38" t="s">
        <v>899</v>
      </c>
      <c r="K354" s="38" t="s">
        <v>954</v>
      </c>
      <c r="L354" s="38" t="s">
        <v>145</v>
      </c>
      <c r="M354" s="38"/>
      <c r="N354" s="44" t="s">
        <v>23</v>
      </c>
      <c r="O354" s="13"/>
      <c r="P354" s="40" t="str">
        <f t="shared" si="3"/>
        <v>×</v>
      </c>
      <c r="Q354" s="33" t="s">
        <v>59</v>
      </c>
      <c r="S354" s="33"/>
      <c r="T354" s="33"/>
    </row>
    <row r="355" hidden="1">
      <c r="A355" s="17">
        <f t="shared" si="2"/>
        <v>353</v>
      </c>
      <c r="B355" s="42" t="s">
        <v>897</v>
      </c>
      <c r="C355" s="47" t="s">
        <v>612</v>
      </c>
      <c r="D355" s="45" t="s">
        <v>32</v>
      </c>
      <c r="E355" s="36" t="s">
        <v>474</v>
      </c>
      <c r="F355" s="17"/>
      <c r="G355" s="17" t="s">
        <v>2</v>
      </c>
      <c r="H355" s="38"/>
      <c r="I355" s="38"/>
      <c r="J355" s="38" t="s">
        <v>899</v>
      </c>
      <c r="K355" s="38" t="s">
        <v>955</v>
      </c>
      <c r="L355" s="38" t="s">
        <v>476</v>
      </c>
      <c r="M355" s="38"/>
      <c r="N355" s="44" t="s">
        <v>23</v>
      </c>
      <c r="O355" s="13"/>
      <c r="P355" s="40" t="str">
        <f t="shared" si="3"/>
        <v>×</v>
      </c>
      <c r="Q355" s="33" t="s">
        <v>59</v>
      </c>
      <c r="S355" s="33"/>
      <c r="T355" s="33" t="s">
        <v>45</v>
      </c>
    </row>
    <row r="356" hidden="1">
      <c r="A356" s="17">
        <f t="shared" si="2"/>
        <v>354</v>
      </c>
      <c r="B356" s="42" t="s">
        <v>897</v>
      </c>
      <c r="C356" s="42" t="s">
        <v>612</v>
      </c>
      <c r="D356" s="36" t="s">
        <v>519</v>
      </c>
      <c r="E356" s="36"/>
      <c r="F356" s="17"/>
      <c r="G356" s="17" t="s">
        <v>2</v>
      </c>
      <c r="H356" s="38"/>
      <c r="I356" s="38"/>
      <c r="J356" s="38" t="s">
        <v>899</v>
      </c>
      <c r="K356" s="38" t="s">
        <v>956</v>
      </c>
      <c r="L356" s="38" t="s">
        <v>957</v>
      </c>
      <c r="M356" s="38"/>
      <c r="N356" s="44" t="s">
        <v>23</v>
      </c>
      <c r="O356" s="13"/>
      <c r="P356" s="40" t="str">
        <f t="shared" si="3"/>
        <v>×</v>
      </c>
      <c r="Q356" s="33" t="s">
        <v>59</v>
      </c>
      <c r="S356" s="33"/>
      <c r="T356" s="33"/>
    </row>
    <row r="357" hidden="1">
      <c r="A357" s="17">
        <f t="shared" si="2"/>
        <v>355</v>
      </c>
      <c r="B357" s="42" t="s">
        <v>897</v>
      </c>
      <c r="C357" s="42" t="s">
        <v>612</v>
      </c>
      <c r="D357" s="36" t="s">
        <v>922</v>
      </c>
      <c r="E357" s="36"/>
      <c r="F357" s="17"/>
      <c r="G357" s="17" t="s">
        <v>2</v>
      </c>
      <c r="H357" s="38"/>
      <c r="I357" s="38"/>
      <c r="J357" s="38" t="s">
        <v>958</v>
      </c>
      <c r="K357" s="38" t="s">
        <v>959</v>
      </c>
      <c r="L357" s="38" t="s">
        <v>925</v>
      </c>
      <c r="M357" s="38"/>
      <c r="N357" s="44" t="s">
        <v>23</v>
      </c>
      <c r="O357" s="13"/>
      <c r="P357" s="40" t="str">
        <f t="shared" si="3"/>
        <v>×</v>
      </c>
      <c r="Q357" s="33" t="s">
        <v>59</v>
      </c>
      <c r="S357" s="33"/>
      <c r="T357" s="33"/>
    </row>
    <row r="358" hidden="1">
      <c r="A358" s="17">
        <f t="shared" si="2"/>
        <v>356</v>
      </c>
      <c r="B358" s="42" t="s">
        <v>897</v>
      </c>
      <c r="C358" s="42" t="s">
        <v>612</v>
      </c>
      <c r="D358" s="36" t="s">
        <v>926</v>
      </c>
      <c r="E358" s="36"/>
      <c r="F358" s="17"/>
      <c r="G358" s="17" t="s">
        <v>2</v>
      </c>
      <c r="H358" s="38"/>
      <c r="I358" s="38" t="s">
        <v>927</v>
      </c>
      <c r="J358" s="38" t="s">
        <v>899</v>
      </c>
      <c r="K358" s="38" t="s">
        <v>960</v>
      </c>
      <c r="L358" s="38" t="s">
        <v>929</v>
      </c>
      <c r="M358" s="38"/>
      <c r="N358" s="44" t="s">
        <v>23</v>
      </c>
      <c r="O358" s="13"/>
      <c r="P358" s="40" t="str">
        <f t="shared" si="3"/>
        <v>×</v>
      </c>
      <c r="Q358" s="33" t="s">
        <v>59</v>
      </c>
      <c r="S358" s="33"/>
      <c r="T358" s="33"/>
    </row>
    <row r="359" hidden="1">
      <c r="A359" s="17">
        <f t="shared" si="2"/>
        <v>357</v>
      </c>
      <c r="B359" s="42" t="s">
        <v>897</v>
      </c>
      <c r="C359" s="42" t="s">
        <v>60</v>
      </c>
      <c r="D359" s="36" t="s">
        <v>930</v>
      </c>
      <c r="E359" s="36"/>
      <c r="F359" s="17"/>
      <c r="G359" s="17" t="s">
        <v>2</v>
      </c>
      <c r="H359" s="38"/>
      <c r="I359" s="38"/>
      <c r="J359" s="38" t="s">
        <v>899</v>
      </c>
      <c r="K359" s="38" t="s">
        <v>961</v>
      </c>
      <c r="L359" s="38" t="s">
        <v>932</v>
      </c>
      <c r="M359" s="38"/>
      <c r="N359" s="44" t="s">
        <v>23</v>
      </c>
      <c r="O359" s="13"/>
      <c r="P359" s="40" t="str">
        <f t="shared" si="3"/>
        <v>×</v>
      </c>
      <c r="Q359" s="33" t="s">
        <v>59</v>
      </c>
      <c r="S359" s="33"/>
      <c r="T359" s="33"/>
    </row>
    <row r="360" hidden="1">
      <c r="A360" s="17">
        <f t="shared" si="2"/>
        <v>358</v>
      </c>
      <c r="B360" s="42" t="s">
        <v>897</v>
      </c>
      <c r="C360" s="42" t="s">
        <v>60</v>
      </c>
      <c r="D360" s="36" t="s">
        <v>933</v>
      </c>
      <c r="E360" s="36"/>
      <c r="F360" s="17"/>
      <c r="G360" s="17" t="s">
        <v>2</v>
      </c>
      <c r="H360" s="38"/>
      <c r="I360" s="38"/>
      <c r="J360" s="38" t="s">
        <v>899</v>
      </c>
      <c r="K360" s="38" t="s">
        <v>962</v>
      </c>
      <c r="L360" s="38" t="s">
        <v>935</v>
      </c>
      <c r="M360" s="38"/>
      <c r="N360" s="44" t="s">
        <v>23</v>
      </c>
      <c r="O360" s="13"/>
      <c r="P360" s="40" t="str">
        <f t="shared" si="3"/>
        <v>×</v>
      </c>
      <c r="Q360" s="33" t="s">
        <v>59</v>
      </c>
      <c r="S360" s="33"/>
      <c r="T360" s="33"/>
    </row>
    <row r="361" hidden="1">
      <c r="A361" s="17">
        <f t="shared" si="2"/>
        <v>359</v>
      </c>
      <c r="B361" s="42" t="s">
        <v>897</v>
      </c>
      <c r="C361" s="42" t="s">
        <v>60</v>
      </c>
      <c r="D361" s="36" t="s">
        <v>963</v>
      </c>
      <c r="E361" s="36"/>
      <c r="F361" s="17"/>
      <c r="G361" s="17" t="s">
        <v>2</v>
      </c>
      <c r="H361" s="38"/>
      <c r="I361" s="38"/>
      <c r="J361" s="38" t="s">
        <v>899</v>
      </c>
      <c r="K361" s="38" t="s">
        <v>964</v>
      </c>
      <c r="L361" s="38" t="s">
        <v>965</v>
      </c>
      <c r="M361" s="38"/>
      <c r="N361" s="44" t="s">
        <v>23</v>
      </c>
      <c r="O361" s="13"/>
      <c r="P361" s="40" t="str">
        <f t="shared" si="3"/>
        <v>×</v>
      </c>
      <c r="Q361" s="33" t="s">
        <v>59</v>
      </c>
      <c r="S361" s="33"/>
      <c r="T361" s="33"/>
    </row>
    <row r="362" hidden="1">
      <c r="A362" s="17">
        <f t="shared" si="2"/>
        <v>360</v>
      </c>
      <c r="B362" s="42" t="s">
        <v>897</v>
      </c>
      <c r="C362" s="42" t="s">
        <v>60</v>
      </c>
      <c r="D362" s="36" t="s">
        <v>936</v>
      </c>
      <c r="E362" s="36"/>
      <c r="F362" s="17"/>
      <c r="G362" s="17" t="s">
        <v>2</v>
      </c>
      <c r="H362" s="38"/>
      <c r="I362" s="38"/>
      <c r="J362" s="38" t="s">
        <v>899</v>
      </c>
      <c r="K362" s="38" t="s">
        <v>966</v>
      </c>
      <c r="L362" s="38" t="s">
        <v>938</v>
      </c>
      <c r="M362" s="38"/>
      <c r="N362" s="44" t="s">
        <v>23</v>
      </c>
      <c r="O362" s="13"/>
      <c r="P362" s="40" t="str">
        <f t="shared" si="3"/>
        <v>×</v>
      </c>
      <c r="Q362" s="33" t="s">
        <v>59</v>
      </c>
      <c r="S362" s="33"/>
      <c r="T362" s="33"/>
    </row>
    <row r="363" hidden="1">
      <c r="A363" s="17">
        <f t="shared" si="2"/>
        <v>361</v>
      </c>
      <c r="B363" s="42" t="s">
        <v>897</v>
      </c>
      <c r="C363" s="42" t="s">
        <v>612</v>
      </c>
      <c r="D363" s="36" t="s">
        <v>278</v>
      </c>
      <c r="E363" s="36"/>
      <c r="F363" s="17"/>
      <c r="G363" s="17" t="s">
        <v>2</v>
      </c>
      <c r="H363" s="38"/>
      <c r="I363" s="38"/>
      <c r="J363" s="38" t="s">
        <v>899</v>
      </c>
      <c r="K363" s="38" t="s">
        <v>967</v>
      </c>
      <c r="L363" s="38" t="s">
        <v>940</v>
      </c>
      <c r="M363" s="38"/>
      <c r="N363" s="44" t="s">
        <v>23</v>
      </c>
      <c r="O363" s="13"/>
      <c r="P363" s="40" t="str">
        <f t="shared" si="3"/>
        <v>×</v>
      </c>
      <c r="Q363" s="33" t="s">
        <v>59</v>
      </c>
      <c r="S363" s="33"/>
      <c r="T363" s="33"/>
    </row>
    <row r="364" hidden="1">
      <c r="A364" s="17">
        <f t="shared" si="2"/>
        <v>362</v>
      </c>
      <c r="B364" s="42" t="s">
        <v>897</v>
      </c>
      <c r="C364" s="42" t="s">
        <v>60</v>
      </c>
      <c r="D364" s="36" t="s">
        <v>232</v>
      </c>
      <c r="E364" s="36"/>
      <c r="F364" s="17"/>
      <c r="G364" s="17" t="s">
        <v>2</v>
      </c>
      <c r="H364" s="38"/>
      <c r="I364" s="38"/>
      <c r="J364" s="38" t="s">
        <v>899</v>
      </c>
      <c r="K364" s="38" t="s">
        <v>968</v>
      </c>
      <c r="L364" s="38" t="s">
        <v>969</v>
      </c>
      <c r="M364" s="38"/>
      <c r="N364" s="44" t="s">
        <v>23</v>
      </c>
      <c r="O364" s="13"/>
      <c r="P364" s="40" t="str">
        <f t="shared" si="3"/>
        <v>×</v>
      </c>
      <c r="Q364" s="33" t="s">
        <v>59</v>
      </c>
      <c r="S364" s="33"/>
      <c r="T364" s="33"/>
    </row>
    <row r="365" hidden="1">
      <c r="A365" s="17">
        <f t="shared" si="2"/>
        <v>363</v>
      </c>
      <c r="B365" s="42" t="s">
        <v>897</v>
      </c>
      <c r="C365" s="42" t="s">
        <v>60</v>
      </c>
      <c r="D365" s="36" t="s">
        <v>454</v>
      </c>
      <c r="E365" s="36"/>
      <c r="F365" s="17"/>
      <c r="G365" s="17" t="s">
        <v>2</v>
      </c>
      <c r="H365" s="38"/>
      <c r="I365" s="38"/>
      <c r="J365" s="38" t="s">
        <v>899</v>
      </c>
      <c r="K365" s="38" t="s">
        <v>970</v>
      </c>
      <c r="L365" s="38" t="s">
        <v>944</v>
      </c>
      <c r="M365" s="38"/>
      <c r="N365" s="44" t="s">
        <v>23</v>
      </c>
      <c r="O365" s="13"/>
      <c r="P365" s="40" t="str">
        <f t="shared" si="3"/>
        <v>×</v>
      </c>
      <c r="Q365" s="33" t="s">
        <v>59</v>
      </c>
      <c r="S365" s="33"/>
      <c r="T365" s="33"/>
    </row>
    <row r="366" hidden="1">
      <c r="A366" s="17">
        <f t="shared" si="2"/>
        <v>364</v>
      </c>
      <c r="B366" s="42" t="s">
        <v>897</v>
      </c>
      <c r="C366" s="36" t="s">
        <v>504</v>
      </c>
      <c r="D366" s="36"/>
      <c r="E366" s="36"/>
      <c r="F366" s="17"/>
      <c r="G366" s="17" t="s">
        <v>2</v>
      </c>
      <c r="H366" s="38"/>
      <c r="I366" s="38"/>
      <c r="J366" s="38" t="s">
        <v>899</v>
      </c>
      <c r="K366" s="38" t="s">
        <v>971</v>
      </c>
      <c r="L366" s="38" t="s">
        <v>972</v>
      </c>
      <c r="M366" s="38"/>
      <c r="N366" s="44" t="s">
        <v>23</v>
      </c>
      <c r="O366" s="13"/>
      <c r="P366" s="40" t="str">
        <f t="shared" si="3"/>
        <v>×</v>
      </c>
      <c r="Q366" s="33" t="s">
        <v>59</v>
      </c>
      <c r="S366" s="33"/>
      <c r="T366" s="33"/>
    </row>
    <row r="367" hidden="1">
      <c r="A367" s="17">
        <f t="shared" si="2"/>
        <v>365</v>
      </c>
      <c r="B367" s="42" t="s">
        <v>897</v>
      </c>
      <c r="C367" s="34" t="s">
        <v>714</v>
      </c>
      <c r="D367" s="36"/>
      <c r="E367" s="36"/>
      <c r="F367" s="17"/>
      <c r="G367" s="17" t="s">
        <v>2</v>
      </c>
      <c r="H367" s="38"/>
      <c r="I367" s="38"/>
      <c r="J367" s="17" t="s">
        <v>66</v>
      </c>
      <c r="K367" s="38" t="s">
        <v>973</v>
      </c>
      <c r="L367" s="38" t="s">
        <v>974</v>
      </c>
      <c r="M367" s="38"/>
      <c r="N367" s="44" t="s">
        <v>23</v>
      </c>
      <c r="O367" s="13"/>
      <c r="P367" s="40" t="str">
        <f t="shared" si="3"/>
        <v>×</v>
      </c>
      <c r="Q367" s="33" t="s">
        <v>59</v>
      </c>
      <c r="S367" s="33"/>
      <c r="T367" s="33"/>
    </row>
    <row r="368" hidden="1">
      <c r="A368" s="17">
        <f t="shared" si="2"/>
        <v>366</v>
      </c>
      <c r="B368" s="34" t="s">
        <v>722</v>
      </c>
      <c r="C368" s="34" t="s">
        <v>975</v>
      </c>
      <c r="D368" s="36" t="s">
        <v>65</v>
      </c>
      <c r="E368" s="36"/>
      <c r="F368" s="17"/>
      <c r="G368" s="17" t="s">
        <v>2</v>
      </c>
      <c r="H368" s="38"/>
      <c r="I368" s="38"/>
      <c r="J368" s="38" t="s">
        <v>976</v>
      </c>
      <c r="K368" s="38" t="s">
        <v>977</v>
      </c>
      <c r="L368" s="38" t="s">
        <v>978</v>
      </c>
      <c r="M368" s="38" t="s">
        <v>41</v>
      </c>
      <c r="N368" s="17" t="s">
        <v>43</v>
      </c>
      <c r="O368" s="39"/>
      <c r="P368" s="40" t="str">
        <f t="shared" si="3"/>
        <v>〇</v>
      </c>
      <c r="Q368" s="33" t="s">
        <v>59</v>
      </c>
      <c r="S368" s="33"/>
      <c r="T368" s="33"/>
    </row>
    <row r="369" hidden="1">
      <c r="A369" s="17">
        <f t="shared" si="2"/>
        <v>367</v>
      </c>
      <c r="B369" s="42" t="s">
        <v>722</v>
      </c>
      <c r="C369" s="42" t="s">
        <v>975</v>
      </c>
      <c r="D369" s="36" t="s">
        <v>979</v>
      </c>
      <c r="E369" s="36" t="s">
        <v>980</v>
      </c>
      <c r="F369" s="17"/>
      <c r="G369" s="17" t="s">
        <v>2</v>
      </c>
      <c r="H369" s="38"/>
      <c r="I369" s="38"/>
      <c r="J369" s="38" t="s">
        <v>976</v>
      </c>
      <c r="K369" s="38" t="s">
        <v>981</v>
      </c>
      <c r="L369" s="38" t="s">
        <v>982</v>
      </c>
      <c r="M369" s="38" t="s">
        <v>41</v>
      </c>
      <c r="N369" s="17" t="s">
        <v>43</v>
      </c>
      <c r="O369" s="39" t="s">
        <v>983</v>
      </c>
      <c r="P369" s="40" t="str">
        <f t="shared" si="3"/>
        <v>〇</v>
      </c>
      <c r="Q369" s="33" t="s">
        <v>59</v>
      </c>
      <c r="S369" s="33"/>
      <c r="T369" s="33"/>
    </row>
    <row r="370" hidden="1">
      <c r="A370" s="17">
        <f t="shared" si="2"/>
        <v>368</v>
      </c>
      <c r="B370" s="42" t="s">
        <v>722</v>
      </c>
      <c r="C370" s="42" t="s">
        <v>975</v>
      </c>
      <c r="D370" s="42" t="s">
        <v>979</v>
      </c>
      <c r="E370" s="36" t="s">
        <v>405</v>
      </c>
      <c r="F370" s="17"/>
      <c r="G370" s="17" t="s">
        <v>2</v>
      </c>
      <c r="H370" s="38"/>
      <c r="I370" s="38"/>
      <c r="J370" s="38" t="s">
        <v>976</v>
      </c>
      <c r="K370" s="38" t="s">
        <v>984</v>
      </c>
      <c r="L370" s="38" t="s">
        <v>985</v>
      </c>
      <c r="M370" s="38" t="s">
        <v>41</v>
      </c>
      <c r="N370" s="17" t="s">
        <v>43</v>
      </c>
      <c r="O370" s="39"/>
      <c r="P370" s="40" t="str">
        <f t="shared" si="3"/>
        <v>〇</v>
      </c>
      <c r="Q370" s="33" t="s">
        <v>59</v>
      </c>
      <c r="S370" s="33"/>
      <c r="T370" s="33"/>
    </row>
    <row r="371" hidden="1">
      <c r="A371" s="17">
        <f t="shared" si="2"/>
        <v>369</v>
      </c>
      <c r="B371" s="42" t="s">
        <v>722</v>
      </c>
      <c r="C371" s="42" t="s">
        <v>975</v>
      </c>
      <c r="D371" s="36" t="s">
        <v>986</v>
      </c>
      <c r="E371" s="36" t="s">
        <v>987</v>
      </c>
      <c r="F371" s="17"/>
      <c r="G371" s="17" t="s">
        <v>2</v>
      </c>
      <c r="H371" s="38"/>
      <c r="I371" s="38" t="s">
        <v>988</v>
      </c>
      <c r="J371" s="38" t="s">
        <v>976</v>
      </c>
      <c r="K371" s="38" t="s">
        <v>989</v>
      </c>
      <c r="L371" s="38" t="s">
        <v>990</v>
      </c>
      <c r="M371" s="38" t="s">
        <v>41</v>
      </c>
      <c r="N371" s="17" t="s">
        <v>43</v>
      </c>
      <c r="O371" s="39" t="s">
        <v>991</v>
      </c>
      <c r="P371" s="40" t="str">
        <f t="shared" si="3"/>
        <v>〇</v>
      </c>
      <c r="Q371" s="33" t="s">
        <v>59</v>
      </c>
      <c r="S371" s="33"/>
      <c r="T371" s="33"/>
    </row>
    <row r="372" hidden="1">
      <c r="A372" s="17">
        <f t="shared" si="2"/>
        <v>370</v>
      </c>
      <c r="B372" s="42" t="s">
        <v>722</v>
      </c>
      <c r="C372" s="42" t="s">
        <v>975</v>
      </c>
      <c r="D372" s="42" t="s">
        <v>986</v>
      </c>
      <c r="E372" s="36" t="s">
        <v>646</v>
      </c>
      <c r="F372" s="17"/>
      <c r="G372" s="17" t="s">
        <v>2</v>
      </c>
      <c r="H372" s="38"/>
      <c r="I372" s="38"/>
      <c r="J372" s="38" t="s">
        <v>976</v>
      </c>
      <c r="K372" s="38" t="s">
        <v>992</v>
      </c>
      <c r="L372" s="38" t="s">
        <v>993</v>
      </c>
      <c r="M372" s="38" t="s">
        <v>41</v>
      </c>
      <c r="N372" s="17" t="s">
        <v>43</v>
      </c>
      <c r="O372" s="39"/>
      <c r="P372" s="40" t="str">
        <f t="shared" si="3"/>
        <v>〇</v>
      </c>
      <c r="Q372" s="33" t="s">
        <v>59</v>
      </c>
      <c r="S372" s="33"/>
      <c r="T372" s="33"/>
    </row>
    <row r="373" hidden="1">
      <c r="A373" s="17">
        <f t="shared" si="2"/>
        <v>371</v>
      </c>
      <c r="B373" s="42" t="s">
        <v>722</v>
      </c>
      <c r="C373" s="42" t="s">
        <v>975</v>
      </c>
      <c r="D373" s="42" t="s">
        <v>986</v>
      </c>
      <c r="E373" s="36" t="s">
        <v>454</v>
      </c>
      <c r="F373" s="17"/>
      <c r="G373" s="17" t="s">
        <v>2</v>
      </c>
      <c r="H373" s="38"/>
      <c r="I373" s="38"/>
      <c r="J373" s="38" t="s">
        <v>976</v>
      </c>
      <c r="K373" s="38" t="s">
        <v>994</v>
      </c>
      <c r="L373" s="38" t="s">
        <v>995</v>
      </c>
      <c r="M373" s="38" t="s">
        <v>41</v>
      </c>
      <c r="N373" s="17" t="s">
        <v>43</v>
      </c>
      <c r="O373" s="39" t="s">
        <v>996</v>
      </c>
      <c r="P373" s="40" t="str">
        <f t="shared" si="3"/>
        <v>〇</v>
      </c>
      <c r="Q373" s="33" t="s">
        <v>59</v>
      </c>
      <c r="S373" s="33"/>
      <c r="T373" s="33"/>
    </row>
    <row r="374" hidden="1">
      <c r="A374" s="17">
        <f t="shared" si="2"/>
        <v>372</v>
      </c>
      <c r="B374" s="42" t="s">
        <v>722</v>
      </c>
      <c r="C374" s="34" t="s">
        <v>997</v>
      </c>
      <c r="D374" s="36" t="s">
        <v>65</v>
      </c>
      <c r="E374" s="36"/>
      <c r="F374" s="17"/>
      <c r="G374" s="17" t="s">
        <v>2</v>
      </c>
      <c r="H374" s="38"/>
      <c r="I374" s="38"/>
      <c r="J374" s="38" t="s">
        <v>998</v>
      </c>
      <c r="K374" s="38" t="s">
        <v>999</v>
      </c>
      <c r="L374" s="38" t="s">
        <v>978</v>
      </c>
      <c r="M374" s="38" t="s">
        <v>41</v>
      </c>
      <c r="N374" s="17" t="s">
        <v>43</v>
      </c>
      <c r="O374" s="39"/>
      <c r="P374" s="40" t="str">
        <f t="shared" si="3"/>
        <v>〇</v>
      </c>
      <c r="Q374" s="33" t="s">
        <v>59</v>
      </c>
      <c r="S374" s="33"/>
      <c r="T374" s="33"/>
    </row>
    <row r="375" hidden="1">
      <c r="A375" s="17">
        <f t="shared" si="2"/>
        <v>373</v>
      </c>
      <c r="B375" s="42" t="s">
        <v>722</v>
      </c>
      <c r="C375" s="42" t="s">
        <v>997</v>
      </c>
      <c r="D375" s="36" t="s">
        <v>979</v>
      </c>
      <c r="E375" s="36" t="s">
        <v>980</v>
      </c>
      <c r="F375" s="17"/>
      <c r="G375" s="17" t="s">
        <v>2</v>
      </c>
      <c r="H375" s="38"/>
      <c r="I375" s="38"/>
      <c r="J375" s="38" t="s">
        <v>998</v>
      </c>
      <c r="K375" s="38" t="s">
        <v>1000</v>
      </c>
      <c r="L375" s="38" t="s">
        <v>1001</v>
      </c>
      <c r="M375" s="38" t="s">
        <v>41</v>
      </c>
      <c r="N375" s="17" t="s">
        <v>43</v>
      </c>
      <c r="O375" s="39" t="s">
        <v>983</v>
      </c>
      <c r="P375" s="40" t="str">
        <f t="shared" si="3"/>
        <v>〇</v>
      </c>
      <c r="Q375" s="33" t="s">
        <v>59</v>
      </c>
      <c r="S375" s="33"/>
      <c r="T375" s="33"/>
    </row>
    <row r="376" hidden="1">
      <c r="A376" s="17">
        <f t="shared" si="2"/>
        <v>374</v>
      </c>
      <c r="B376" s="42" t="s">
        <v>722</v>
      </c>
      <c r="C376" s="42" t="s">
        <v>997</v>
      </c>
      <c r="D376" s="42" t="s">
        <v>979</v>
      </c>
      <c r="E376" s="36" t="s">
        <v>405</v>
      </c>
      <c r="F376" s="17"/>
      <c r="G376" s="17" t="s">
        <v>2</v>
      </c>
      <c r="H376" s="38"/>
      <c r="I376" s="38"/>
      <c r="J376" s="38" t="s">
        <v>998</v>
      </c>
      <c r="K376" s="38" t="s">
        <v>984</v>
      </c>
      <c r="L376" s="38" t="s">
        <v>985</v>
      </c>
      <c r="M376" s="38" t="s">
        <v>41</v>
      </c>
      <c r="N376" s="17" t="s">
        <v>43</v>
      </c>
      <c r="O376" s="39"/>
      <c r="P376" s="40" t="str">
        <f t="shared" si="3"/>
        <v>〇</v>
      </c>
      <c r="Q376" s="33" t="s">
        <v>59</v>
      </c>
      <c r="S376" s="33"/>
      <c r="T376" s="33"/>
    </row>
    <row r="377" hidden="1">
      <c r="A377" s="17">
        <f t="shared" si="2"/>
        <v>375</v>
      </c>
      <c r="B377" s="42" t="s">
        <v>722</v>
      </c>
      <c r="C377" s="42" t="s">
        <v>997</v>
      </c>
      <c r="D377" s="36" t="s">
        <v>986</v>
      </c>
      <c r="E377" s="36" t="s">
        <v>987</v>
      </c>
      <c r="F377" s="17"/>
      <c r="G377" s="17" t="s">
        <v>2</v>
      </c>
      <c r="H377" s="38"/>
      <c r="I377" s="38" t="s">
        <v>1002</v>
      </c>
      <c r="J377" s="38" t="s">
        <v>998</v>
      </c>
      <c r="K377" s="38" t="s">
        <v>1003</v>
      </c>
      <c r="L377" s="38" t="s">
        <v>1004</v>
      </c>
      <c r="M377" s="38" t="s">
        <v>41</v>
      </c>
      <c r="N377" s="17" t="s">
        <v>43</v>
      </c>
      <c r="O377" s="39" t="s">
        <v>991</v>
      </c>
      <c r="P377" s="40" t="str">
        <f t="shared" si="3"/>
        <v>〇</v>
      </c>
      <c r="Q377" s="33" t="s">
        <v>59</v>
      </c>
      <c r="S377" s="33"/>
      <c r="T377" s="33"/>
    </row>
    <row r="378" hidden="1">
      <c r="A378" s="17">
        <f t="shared" si="2"/>
        <v>376</v>
      </c>
      <c r="B378" s="42" t="s">
        <v>722</v>
      </c>
      <c r="C378" s="42" t="s">
        <v>997</v>
      </c>
      <c r="D378" s="42" t="s">
        <v>986</v>
      </c>
      <c r="E378" s="36" t="s">
        <v>646</v>
      </c>
      <c r="F378" s="17"/>
      <c r="G378" s="17" t="s">
        <v>2</v>
      </c>
      <c r="H378" s="38"/>
      <c r="I378" s="38"/>
      <c r="J378" s="38" t="s">
        <v>998</v>
      </c>
      <c r="K378" s="38" t="s">
        <v>1005</v>
      </c>
      <c r="L378" s="38" t="s">
        <v>993</v>
      </c>
      <c r="M378" s="38" t="s">
        <v>41</v>
      </c>
      <c r="N378" s="17" t="s">
        <v>43</v>
      </c>
      <c r="O378" s="39"/>
      <c r="P378" s="40" t="str">
        <f t="shared" si="3"/>
        <v>〇</v>
      </c>
      <c r="Q378" s="33" t="s">
        <v>59</v>
      </c>
      <c r="S378" s="33"/>
      <c r="T378" s="33"/>
    </row>
    <row r="379" hidden="1">
      <c r="A379" s="17">
        <f t="shared" si="2"/>
        <v>377</v>
      </c>
      <c r="B379" s="42" t="s">
        <v>722</v>
      </c>
      <c r="C379" s="42" t="s">
        <v>997</v>
      </c>
      <c r="D379" s="42" t="s">
        <v>986</v>
      </c>
      <c r="E379" s="36" t="s">
        <v>454</v>
      </c>
      <c r="F379" s="17"/>
      <c r="G379" s="17" t="s">
        <v>2</v>
      </c>
      <c r="H379" s="38"/>
      <c r="I379" s="38"/>
      <c r="J379" s="38" t="s">
        <v>998</v>
      </c>
      <c r="K379" s="38" t="s">
        <v>1006</v>
      </c>
      <c r="L379" s="38" t="s">
        <v>995</v>
      </c>
      <c r="M379" s="38" t="s">
        <v>41</v>
      </c>
      <c r="N379" s="17" t="s">
        <v>43</v>
      </c>
      <c r="O379" s="39" t="s">
        <v>996</v>
      </c>
      <c r="P379" s="40" t="str">
        <f t="shared" si="3"/>
        <v>〇</v>
      </c>
      <c r="Q379" s="33" t="s">
        <v>59</v>
      </c>
      <c r="S379" s="33"/>
      <c r="T379" s="33"/>
    </row>
    <row r="380" hidden="1">
      <c r="A380" s="17">
        <f t="shared" si="2"/>
        <v>378</v>
      </c>
      <c r="B380" s="42" t="s">
        <v>722</v>
      </c>
      <c r="C380" s="34" t="s">
        <v>1007</v>
      </c>
      <c r="D380" s="36" t="s">
        <v>65</v>
      </c>
      <c r="E380" s="36"/>
      <c r="F380" s="17"/>
      <c r="G380" s="17" t="s">
        <v>2</v>
      </c>
      <c r="H380" s="38"/>
      <c r="I380" s="38"/>
      <c r="J380" s="38" t="s">
        <v>1008</v>
      </c>
      <c r="K380" s="38" t="s">
        <v>1009</v>
      </c>
      <c r="L380" s="38" t="s">
        <v>978</v>
      </c>
      <c r="M380" s="38" t="s">
        <v>41</v>
      </c>
      <c r="N380" s="17" t="s">
        <v>43</v>
      </c>
      <c r="O380" s="39"/>
      <c r="P380" s="40" t="str">
        <f t="shared" si="3"/>
        <v>〇</v>
      </c>
      <c r="Q380" s="33" t="s">
        <v>59</v>
      </c>
      <c r="S380" s="33"/>
      <c r="T380" s="33"/>
    </row>
    <row r="381" hidden="1">
      <c r="A381" s="17">
        <f t="shared" si="2"/>
        <v>379</v>
      </c>
      <c r="B381" s="42" t="s">
        <v>722</v>
      </c>
      <c r="C381" s="42" t="s">
        <v>1007</v>
      </c>
      <c r="D381" s="36" t="s">
        <v>979</v>
      </c>
      <c r="E381" s="36" t="s">
        <v>980</v>
      </c>
      <c r="F381" s="17"/>
      <c r="G381" s="17" t="s">
        <v>2</v>
      </c>
      <c r="H381" s="38"/>
      <c r="I381" s="38"/>
      <c r="J381" s="38" t="s">
        <v>1008</v>
      </c>
      <c r="K381" s="38" t="s">
        <v>1010</v>
      </c>
      <c r="L381" s="38" t="s">
        <v>1011</v>
      </c>
      <c r="M381" s="38" t="s">
        <v>41</v>
      </c>
      <c r="N381" s="17" t="s">
        <v>43</v>
      </c>
      <c r="O381" s="39" t="s">
        <v>983</v>
      </c>
      <c r="P381" s="40" t="str">
        <f t="shared" si="3"/>
        <v>〇</v>
      </c>
      <c r="Q381" s="33" t="s">
        <v>59</v>
      </c>
      <c r="S381" s="33"/>
      <c r="T381" s="33"/>
    </row>
    <row r="382" hidden="1">
      <c r="A382" s="17">
        <f t="shared" si="2"/>
        <v>380</v>
      </c>
      <c r="B382" s="42" t="s">
        <v>722</v>
      </c>
      <c r="C382" s="42" t="s">
        <v>975</v>
      </c>
      <c r="D382" s="42" t="s">
        <v>979</v>
      </c>
      <c r="E382" s="36" t="s">
        <v>405</v>
      </c>
      <c r="F382" s="17"/>
      <c r="G382" s="17" t="s">
        <v>2</v>
      </c>
      <c r="H382" s="38"/>
      <c r="I382" s="38"/>
      <c r="J382" s="38" t="s">
        <v>1008</v>
      </c>
      <c r="K382" s="38" t="s">
        <v>984</v>
      </c>
      <c r="L382" s="38" t="s">
        <v>985</v>
      </c>
      <c r="M382" s="38" t="s">
        <v>41</v>
      </c>
      <c r="N382" s="17" t="s">
        <v>43</v>
      </c>
      <c r="O382" s="39"/>
      <c r="P382" s="40" t="str">
        <f t="shared" si="3"/>
        <v>〇</v>
      </c>
      <c r="Q382" s="33" t="s">
        <v>59</v>
      </c>
      <c r="S382" s="33"/>
      <c r="T382" s="33"/>
    </row>
    <row r="383" hidden="1">
      <c r="A383" s="17">
        <f t="shared" si="2"/>
        <v>381</v>
      </c>
      <c r="B383" s="42" t="s">
        <v>722</v>
      </c>
      <c r="C383" s="42" t="s">
        <v>1007</v>
      </c>
      <c r="D383" s="36" t="s">
        <v>986</v>
      </c>
      <c r="E383" s="36" t="s">
        <v>987</v>
      </c>
      <c r="F383" s="17"/>
      <c r="G383" s="17" t="s">
        <v>2</v>
      </c>
      <c r="H383" s="38"/>
      <c r="I383" s="38" t="s">
        <v>1012</v>
      </c>
      <c r="J383" s="38" t="s">
        <v>1008</v>
      </c>
      <c r="K383" s="38" t="s">
        <v>1013</v>
      </c>
      <c r="L383" s="38" t="s">
        <v>1014</v>
      </c>
      <c r="M383" s="38" t="s">
        <v>41</v>
      </c>
      <c r="N383" s="17" t="s">
        <v>43</v>
      </c>
      <c r="O383" s="39" t="s">
        <v>991</v>
      </c>
      <c r="P383" s="40" t="str">
        <f t="shared" si="3"/>
        <v>〇</v>
      </c>
      <c r="Q383" s="33" t="s">
        <v>59</v>
      </c>
      <c r="S383" s="33"/>
      <c r="T383" s="33"/>
    </row>
    <row r="384" hidden="1">
      <c r="A384" s="17">
        <f t="shared" si="2"/>
        <v>382</v>
      </c>
      <c r="B384" s="42" t="s">
        <v>722</v>
      </c>
      <c r="C384" s="42" t="s">
        <v>1007</v>
      </c>
      <c r="D384" s="42" t="s">
        <v>986</v>
      </c>
      <c r="E384" s="36" t="s">
        <v>646</v>
      </c>
      <c r="F384" s="17"/>
      <c r="G384" s="17" t="s">
        <v>2</v>
      </c>
      <c r="H384" s="38"/>
      <c r="I384" s="38"/>
      <c r="J384" s="38" t="s">
        <v>1008</v>
      </c>
      <c r="K384" s="38" t="s">
        <v>1015</v>
      </c>
      <c r="L384" s="38" t="s">
        <v>993</v>
      </c>
      <c r="M384" s="38" t="s">
        <v>41</v>
      </c>
      <c r="N384" s="17" t="s">
        <v>43</v>
      </c>
      <c r="O384" s="39"/>
      <c r="P384" s="40" t="str">
        <f t="shared" si="3"/>
        <v>〇</v>
      </c>
      <c r="Q384" s="33" t="s">
        <v>59</v>
      </c>
      <c r="S384" s="33"/>
      <c r="T384" s="33"/>
    </row>
    <row r="385" hidden="1">
      <c r="A385" s="17">
        <f t="shared" si="2"/>
        <v>383</v>
      </c>
      <c r="B385" s="42" t="s">
        <v>722</v>
      </c>
      <c r="C385" s="42" t="s">
        <v>1007</v>
      </c>
      <c r="D385" s="42" t="s">
        <v>986</v>
      </c>
      <c r="E385" s="36" t="s">
        <v>454</v>
      </c>
      <c r="F385" s="17"/>
      <c r="G385" s="17" t="s">
        <v>2</v>
      </c>
      <c r="H385" s="38"/>
      <c r="I385" s="38"/>
      <c r="J385" s="38" t="s">
        <v>1008</v>
      </c>
      <c r="K385" s="38" t="s">
        <v>1016</v>
      </c>
      <c r="L385" s="38" t="s">
        <v>995</v>
      </c>
      <c r="M385" s="38" t="s">
        <v>41</v>
      </c>
      <c r="N385" s="17" t="s">
        <v>43</v>
      </c>
      <c r="O385" s="39" t="s">
        <v>996</v>
      </c>
      <c r="P385" s="40" t="str">
        <f t="shared" si="3"/>
        <v>〇</v>
      </c>
      <c r="Q385" s="33" t="s">
        <v>59</v>
      </c>
      <c r="S385" s="33"/>
      <c r="T385" s="33"/>
    </row>
    <row r="386" hidden="1">
      <c r="A386" s="17">
        <f t="shared" si="2"/>
        <v>384</v>
      </c>
      <c r="B386" s="91" t="s">
        <v>722</v>
      </c>
      <c r="C386" s="91" t="s">
        <v>1007</v>
      </c>
      <c r="D386" s="92" t="s">
        <v>1017</v>
      </c>
      <c r="E386" s="93"/>
      <c r="F386" s="94"/>
      <c r="G386" s="94" t="s">
        <v>2</v>
      </c>
      <c r="H386" s="95"/>
      <c r="I386" s="95"/>
      <c r="J386" s="95" t="s">
        <v>1008</v>
      </c>
      <c r="K386" s="95" t="s">
        <v>1018</v>
      </c>
      <c r="L386" s="95" t="s">
        <v>1019</v>
      </c>
      <c r="M386" s="95" t="s">
        <v>41</v>
      </c>
      <c r="N386" s="94" t="s">
        <v>43</v>
      </c>
      <c r="O386" s="39" t="s">
        <v>1020</v>
      </c>
      <c r="P386" s="40" t="str">
        <f t="shared" si="3"/>
        <v>〇</v>
      </c>
      <c r="Q386" s="78" t="s">
        <v>45</v>
      </c>
      <c r="S386" s="33" t="s">
        <v>45</v>
      </c>
      <c r="T386" s="33"/>
    </row>
    <row r="387" hidden="1">
      <c r="A387" s="17">
        <f t="shared" si="2"/>
        <v>385</v>
      </c>
      <c r="B387" s="34" t="s">
        <v>1021</v>
      </c>
      <c r="C387" s="34" t="s">
        <v>1022</v>
      </c>
      <c r="D387" s="34" t="s">
        <v>1023</v>
      </c>
      <c r="E387" s="36" t="s">
        <v>1024</v>
      </c>
      <c r="F387" s="17"/>
      <c r="G387" s="17" t="s">
        <v>2</v>
      </c>
      <c r="H387" s="38"/>
      <c r="I387" s="38"/>
      <c r="J387" s="38" t="s">
        <v>1025</v>
      </c>
      <c r="K387" s="38" t="s">
        <v>1026</v>
      </c>
      <c r="L387" s="38" t="s">
        <v>1027</v>
      </c>
      <c r="M387" s="38" t="s">
        <v>41</v>
      </c>
      <c r="N387" s="17" t="s">
        <v>43</v>
      </c>
      <c r="O387" s="39"/>
      <c r="P387" s="40" t="str">
        <f t="shared" si="3"/>
        <v>〇</v>
      </c>
      <c r="Q387" s="33" t="s">
        <v>59</v>
      </c>
      <c r="S387" s="33"/>
      <c r="T387" s="33"/>
    </row>
    <row r="388" hidden="1">
      <c r="A388" s="17">
        <f t="shared" si="2"/>
        <v>386</v>
      </c>
      <c r="B388" s="42" t="s">
        <v>1021</v>
      </c>
      <c r="C388" s="42" t="s">
        <v>1022</v>
      </c>
      <c r="D388" s="42" t="s">
        <v>1023</v>
      </c>
      <c r="E388" s="36" t="s">
        <v>1028</v>
      </c>
      <c r="F388" s="17"/>
      <c r="G388" s="17" t="s">
        <v>2</v>
      </c>
      <c r="H388" s="38"/>
      <c r="I388" s="38"/>
      <c r="J388" s="38" t="s">
        <v>1025</v>
      </c>
      <c r="K388" s="38" t="s">
        <v>1029</v>
      </c>
      <c r="L388" s="38" t="s">
        <v>1030</v>
      </c>
      <c r="M388" s="38" t="s">
        <v>41</v>
      </c>
      <c r="N388" s="17" t="s">
        <v>43</v>
      </c>
      <c r="O388" s="39"/>
      <c r="P388" s="40" t="str">
        <f t="shared" si="3"/>
        <v>〇</v>
      </c>
      <c r="Q388" s="33" t="s">
        <v>59</v>
      </c>
      <c r="S388" s="33"/>
      <c r="T388" s="33"/>
    </row>
    <row r="389" hidden="1">
      <c r="A389" s="17">
        <f t="shared" si="2"/>
        <v>387</v>
      </c>
      <c r="B389" s="42" t="s">
        <v>1021</v>
      </c>
      <c r="C389" s="42" t="s">
        <v>1022</v>
      </c>
      <c r="D389" s="34" t="s">
        <v>1031</v>
      </c>
      <c r="E389" s="36"/>
      <c r="F389" s="17"/>
      <c r="G389" s="17" t="s">
        <v>2</v>
      </c>
      <c r="H389" s="38"/>
      <c r="I389" s="38"/>
      <c r="J389" s="38" t="s">
        <v>1025</v>
      </c>
      <c r="K389" s="38" t="s">
        <v>1032</v>
      </c>
      <c r="L389" s="38" t="s">
        <v>1033</v>
      </c>
      <c r="M389" s="38" t="s">
        <v>41</v>
      </c>
      <c r="N389" s="17" t="s">
        <v>43</v>
      </c>
      <c r="O389" s="39"/>
      <c r="P389" s="40" t="str">
        <f t="shared" si="3"/>
        <v>〇</v>
      </c>
      <c r="Q389" s="33" t="s">
        <v>59</v>
      </c>
      <c r="S389" s="33"/>
      <c r="T389" s="33"/>
    </row>
    <row r="390" hidden="1">
      <c r="A390" s="17">
        <f t="shared" si="2"/>
        <v>388</v>
      </c>
      <c r="B390" s="42" t="s">
        <v>1021</v>
      </c>
      <c r="C390" s="42" t="s">
        <v>1022</v>
      </c>
      <c r="D390" s="34" t="s">
        <v>1034</v>
      </c>
      <c r="E390" s="36"/>
      <c r="F390" s="17"/>
      <c r="G390" s="17" t="s">
        <v>2</v>
      </c>
      <c r="H390" s="38"/>
      <c r="I390" s="38"/>
      <c r="J390" s="38" t="s">
        <v>1025</v>
      </c>
      <c r="K390" s="38" t="s">
        <v>1035</v>
      </c>
      <c r="L390" s="38" t="s">
        <v>1036</v>
      </c>
      <c r="M390" s="38" t="s">
        <v>41</v>
      </c>
      <c r="N390" s="17" t="s">
        <v>43</v>
      </c>
      <c r="O390" s="39"/>
      <c r="P390" s="40" t="str">
        <f t="shared" si="3"/>
        <v>〇</v>
      </c>
      <c r="Q390" s="33" t="s">
        <v>59</v>
      </c>
      <c r="S390" s="33"/>
      <c r="T390" s="33"/>
    </row>
    <row r="391" hidden="1">
      <c r="A391" s="17">
        <f t="shared" si="2"/>
        <v>389</v>
      </c>
      <c r="B391" s="42" t="s">
        <v>1021</v>
      </c>
      <c r="C391" s="42" t="s">
        <v>1022</v>
      </c>
      <c r="D391" s="34" t="s">
        <v>504</v>
      </c>
      <c r="E391" s="36" t="s">
        <v>1037</v>
      </c>
      <c r="F391" s="17"/>
      <c r="G391" s="17" t="s">
        <v>2</v>
      </c>
      <c r="H391" s="38"/>
      <c r="I391" s="38"/>
      <c r="J391" s="38" t="s">
        <v>1025</v>
      </c>
      <c r="K391" s="38" t="s">
        <v>1038</v>
      </c>
      <c r="L391" s="38" t="s">
        <v>1039</v>
      </c>
      <c r="M391" s="38" t="s">
        <v>41</v>
      </c>
      <c r="N391" s="17" t="s">
        <v>43</v>
      </c>
      <c r="O391" s="39"/>
      <c r="P391" s="40" t="str">
        <f t="shared" si="3"/>
        <v>〇</v>
      </c>
      <c r="Q391" s="33" t="s">
        <v>59</v>
      </c>
      <c r="S391" s="33"/>
      <c r="T391" s="33"/>
    </row>
    <row r="392" hidden="1">
      <c r="A392" s="17">
        <f t="shared" si="2"/>
        <v>390</v>
      </c>
      <c r="B392" s="42" t="s">
        <v>1021</v>
      </c>
      <c r="C392" s="42" t="s">
        <v>1022</v>
      </c>
      <c r="D392" s="42" t="s">
        <v>504</v>
      </c>
      <c r="E392" s="36" t="s">
        <v>1040</v>
      </c>
      <c r="F392" s="17"/>
      <c r="G392" s="17" t="s">
        <v>2</v>
      </c>
      <c r="H392" s="38"/>
      <c r="I392" s="38"/>
      <c r="J392" s="38" t="s">
        <v>1025</v>
      </c>
      <c r="K392" s="38" t="s">
        <v>1041</v>
      </c>
      <c r="L392" s="38" t="s">
        <v>1042</v>
      </c>
      <c r="M392" s="38" t="s">
        <v>41</v>
      </c>
      <c r="N392" s="17" t="s">
        <v>43</v>
      </c>
      <c r="O392" s="39"/>
      <c r="P392" s="40" t="str">
        <f t="shared" si="3"/>
        <v>〇</v>
      </c>
      <c r="Q392" s="33" t="s">
        <v>59</v>
      </c>
      <c r="S392" s="33"/>
      <c r="T392" s="33"/>
    </row>
    <row r="393" hidden="1">
      <c r="A393" s="17">
        <f t="shared" si="2"/>
        <v>391</v>
      </c>
      <c r="B393" s="42" t="s">
        <v>1021</v>
      </c>
      <c r="C393" s="42" t="s">
        <v>1022</v>
      </c>
      <c r="D393" s="34" t="s">
        <v>405</v>
      </c>
      <c r="E393" s="36" t="s">
        <v>1037</v>
      </c>
      <c r="F393" s="17"/>
      <c r="G393" s="17" t="s">
        <v>2</v>
      </c>
      <c r="H393" s="38"/>
      <c r="I393" s="38"/>
      <c r="J393" s="38" t="s">
        <v>1025</v>
      </c>
      <c r="K393" s="38" t="s">
        <v>1043</v>
      </c>
      <c r="L393" s="38" t="s">
        <v>1044</v>
      </c>
      <c r="M393" s="38" t="s">
        <v>41</v>
      </c>
      <c r="N393" s="17" t="s">
        <v>43</v>
      </c>
      <c r="O393" s="39"/>
      <c r="P393" s="40" t="str">
        <f t="shared" si="3"/>
        <v>〇</v>
      </c>
      <c r="Q393" s="33" t="s">
        <v>59</v>
      </c>
      <c r="S393" s="33"/>
      <c r="T393" s="33"/>
    </row>
    <row r="394" hidden="1">
      <c r="A394" s="17">
        <f t="shared" si="2"/>
        <v>392</v>
      </c>
      <c r="B394" s="42" t="s">
        <v>1021</v>
      </c>
      <c r="C394" s="42" t="s">
        <v>1022</v>
      </c>
      <c r="D394" s="42" t="s">
        <v>405</v>
      </c>
      <c r="E394" s="36" t="s">
        <v>1040</v>
      </c>
      <c r="F394" s="17"/>
      <c r="G394" s="17" t="s">
        <v>2</v>
      </c>
      <c r="H394" s="38"/>
      <c r="I394" s="38"/>
      <c r="J394" s="38" t="s">
        <v>1025</v>
      </c>
      <c r="K394" s="38" t="s">
        <v>1045</v>
      </c>
      <c r="L394" s="38" t="s">
        <v>1046</v>
      </c>
      <c r="M394" s="38" t="s">
        <v>41</v>
      </c>
      <c r="N394" s="17" t="s">
        <v>43</v>
      </c>
      <c r="O394" s="39"/>
      <c r="P394" s="40" t="str">
        <f t="shared" si="3"/>
        <v>〇</v>
      </c>
      <c r="Q394" s="33" t="s">
        <v>59</v>
      </c>
      <c r="S394" s="33"/>
      <c r="T394" s="33"/>
    </row>
    <row r="395" hidden="1">
      <c r="A395" s="17">
        <f t="shared" si="2"/>
        <v>393</v>
      </c>
      <c r="B395" s="42" t="s">
        <v>1021</v>
      </c>
      <c r="C395" s="42" t="s">
        <v>1022</v>
      </c>
      <c r="D395" s="34" t="s">
        <v>187</v>
      </c>
      <c r="E395" s="36" t="s">
        <v>1047</v>
      </c>
      <c r="F395" s="17"/>
      <c r="G395" s="17" t="s">
        <v>2</v>
      </c>
      <c r="H395" s="38"/>
      <c r="I395" s="38" t="s">
        <v>1048</v>
      </c>
      <c r="J395" s="38" t="s">
        <v>1025</v>
      </c>
      <c r="K395" s="38" t="s">
        <v>1049</v>
      </c>
      <c r="L395" s="38" t="s">
        <v>1050</v>
      </c>
      <c r="M395" s="38" t="s">
        <v>41</v>
      </c>
      <c r="N395" s="17" t="s">
        <v>43</v>
      </c>
      <c r="O395" s="39"/>
      <c r="P395" s="40" t="str">
        <f t="shared" si="3"/>
        <v>〇</v>
      </c>
      <c r="Q395" s="33" t="s">
        <v>59</v>
      </c>
      <c r="S395" s="33"/>
      <c r="T395" s="33"/>
    </row>
    <row r="396" hidden="1">
      <c r="A396" s="17">
        <f t="shared" si="2"/>
        <v>394</v>
      </c>
      <c r="B396" s="42" t="s">
        <v>1021</v>
      </c>
      <c r="C396" s="42" t="s">
        <v>1022</v>
      </c>
      <c r="D396" s="42" t="s">
        <v>187</v>
      </c>
      <c r="E396" s="36" t="s">
        <v>1051</v>
      </c>
      <c r="F396" s="17"/>
      <c r="G396" s="17" t="s">
        <v>2</v>
      </c>
      <c r="H396" s="38"/>
      <c r="I396" s="38" t="s">
        <v>1048</v>
      </c>
      <c r="J396" s="38" t="s">
        <v>1025</v>
      </c>
      <c r="K396" s="38" t="s">
        <v>1052</v>
      </c>
      <c r="L396" s="38" t="s">
        <v>1053</v>
      </c>
      <c r="M396" s="38" t="s">
        <v>41</v>
      </c>
      <c r="N396" s="17" t="s">
        <v>43</v>
      </c>
      <c r="O396" s="39"/>
      <c r="P396" s="40" t="str">
        <f t="shared" si="3"/>
        <v>〇</v>
      </c>
      <c r="Q396" s="33" t="s">
        <v>59</v>
      </c>
      <c r="S396" s="33"/>
      <c r="T396" s="33"/>
    </row>
    <row r="397" hidden="1">
      <c r="A397" s="17">
        <f t="shared" si="2"/>
        <v>395</v>
      </c>
      <c r="B397" s="42" t="s">
        <v>1021</v>
      </c>
      <c r="C397" s="34" t="s">
        <v>1054</v>
      </c>
      <c r="D397" s="34" t="s">
        <v>1023</v>
      </c>
      <c r="E397" s="36" t="s">
        <v>1028</v>
      </c>
      <c r="F397" s="17"/>
      <c r="G397" s="17" t="s">
        <v>2</v>
      </c>
      <c r="H397" s="38"/>
      <c r="I397" s="38"/>
      <c r="J397" s="38" t="s">
        <v>1055</v>
      </c>
      <c r="K397" s="38" t="s">
        <v>1056</v>
      </c>
      <c r="L397" s="38" t="s">
        <v>1057</v>
      </c>
      <c r="M397" s="38" t="s">
        <v>41</v>
      </c>
      <c r="N397" s="17" t="s">
        <v>43</v>
      </c>
      <c r="O397" s="39"/>
      <c r="P397" s="40" t="str">
        <f t="shared" si="3"/>
        <v>〇</v>
      </c>
      <c r="Q397" s="33" t="s">
        <v>59</v>
      </c>
      <c r="S397" s="33"/>
      <c r="T397" s="33"/>
    </row>
    <row r="398" hidden="1">
      <c r="A398" s="17">
        <f t="shared" si="2"/>
        <v>396</v>
      </c>
      <c r="B398" s="42" t="s">
        <v>1021</v>
      </c>
      <c r="C398" s="42" t="s">
        <v>1054</v>
      </c>
      <c r="D398" s="42" t="s">
        <v>1023</v>
      </c>
      <c r="E398" s="36" t="s">
        <v>20</v>
      </c>
      <c r="F398" s="17"/>
      <c r="G398" s="17" t="s">
        <v>2</v>
      </c>
      <c r="H398" s="38"/>
      <c r="I398" s="38"/>
      <c r="J398" s="38" t="s">
        <v>1055</v>
      </c>
      <c r="K398" s="38" t="s">
        <v>1058</v>
      </c>
      <c r="L398" s="38" t="s">
        <v>1059</v>
      </c>
      <c r="M398" s="38" t="s">
        <v>41</v>
      </c>
      <c r="N398" s="17" t="s">
        <v>43</v>
      </c>
      <c r="O398" s="39"/>
      <c r="P398" s="40" t="str">
        <f t="shared" si="3"/>
        <v>〇</v>
      </c>
      <c r="Q398" s="33" t="s">
        <v>59</v>
      </c>
      <c r="S398" s="33"/>
      <c r="T398" s="33"/>
    </row>
    <row r="399" hidden="1">
      <c r="A399" s="17">
        <f t="shared" si="2"/>
        <v>397</v>
      </c>
      <c r="B399" s="42" t="s">
        <v>1021</v>
      </c>
      <c r="C399" s="42" t="s">
        <v>1054</v>
      </c>
      <c r="D399" s="36" t="s">
        <v>1060</v>
      </c>
      <c r="E399" s="36"/>
      <c r="F399" s="17"/>
      <c r="G399" s="17" t="s">
        <v>2</v>
      </c>
      <c r="H399" s="38"/>
      <c r="I399" s="38" t="s">
        <v>1061</v>
      </c>
      <c r="J399" s="38" t="s">
        <v>1055</v>
      </c>
      <c r="K399" s="38" t="s">
        <v>1062</v>
      </c>
      <c r="L399" s="38" t="s">
        <v>1063</v>
      </c>
      <c r="M399" s="38" t="s">
        <v>41</v>
      </c>
      <c r="N399" s="17" t="s">
        <v>43</v>
      </c>
      <c r="O399" s="39"/>
      <c r="P399" s="40" t="str">
        <f t="shared" si="3"/>
        <v>〇</v>
      </c>
      <c r="Q399" s="33" t="s">
        <v>59</v>
      </c>
      <c r="S399" s="33"/>
      <c r="T399" s="33"/>
    </row>
    <row r="400" hidden="1">
      <c r="A400" s="17">
        <f t="shared" si="2"/>
        <v>398</v>
      </c>
      <c r="B400" s="42" t="s">
        <v>1021</v>
      </c>
      <c r="C400" s="42" t="s">
        <v>1054</v>
      </c>
      <c r="D400" s="36" t="s">
        <v>1064</v>
      </c>
      <c r="E400" s="36" t="s">
        <v>1031</v>
      </c>
      <c r="F400" s="17"/>
      <c r="G400" s="17" t="s">
        <v>2</v>
      </c>
      <c r="H400" s="38"/>
      <c r="I400" s="38"/>
      <c r="J400" s="38" t="s">
        <v>1055</v>
      </c>
      <c r="K400" s="38" t="s">
        <v>1065</v>
      </c>
      <c r="L400" s="38" t="s">
        <v>1066</v>
      </c>
      <c r="M400" s="38" t="s">
        <v>41</v>
      </c>
      <c r="N400" s="17" t="s">
        <v>43</v>
      </c>
      <c r="O400" s="39"/>
      <c r="P400" s="40" t="str">
        <f t="shared" si="3"/>
        <v>〇</v>
      </c>
      <c r="Q400" s="33" t="s">
        <v>59</v>
      </c>
      <c r="S400" s="33"/>
      <c r="T400" s="33"/>
    </row>
    <row r="401" hidden="1">
      <c r="A401" s="17">
        <f t="shared" si="2"/>
        <v>399</v>
      </c>
      <c r="B401" s="42" t="s">
        <v>1021</v>
      </c>
      <c r="C401" s="42" t="s">
        <v>1054</v>
      </c>
      <c r="D401" s="42" t="s">
        <v>1064</v>
      </c>
      <c r="E401" s="36" t="s">
        <v>1034</v>
      </c>
      <c r="F401" s="17"/>
      <c r="G401" s="17" t="s">
        <v>2</v>
      </c>
      <c r="H401" s="38"/>
      <c r="I401" s="38"/>
      <c r="J401" s="38"/>
      <c r="K401" s="38" t="s">
        <v>1067</v>
      </c>
      <c r="L401" s="38" t="s">
        <v>1068</v>
      </c>
      <c r="M401" s="38" t="s">
        <v>41</v>
      </c>
      <c r="N401" s="17" t="s">
        <v>43</v>
      </c>
      <c r="O401" s="39"/>
      <c r="P401" s="40" t="str">
        <f t="shared" si="3"/>
        <v>〇</v>
      </c>
      <c r="Q401" s="33" t="s">
        <v>59</v>
      </c>
      <c r="S401" s="33"/>
      <c r="T401" s="33"/>
    </row>
    <row r="402" hidden="1">
      <c r="A402" s="17">
        <f t="shared" si="2"/>
        <v>400</v>
      </c>
      <c r="B402" s="42" t="s">
        <v>1021</v>
      </c>
      <c r="C402" s="42" t="s">
        <v>1054</v>
      </c>
      <c r="D402" s="42" t="s">
        <v>1064</v>
      </c>
      <c r="E402" s="36" t="s">
        <v>504</v>
      </c>
      <c r="F402" s="17"/>
      <c r="G402" s="17" t="s">
        <v>2</v>
      </c>
      <c r="H402" s="38"/>
      <c r="I402" s="38"/>
      <c r="J402" s="38" t="s">
        <v>1069</v>
      </c>
      <c r="K402" s="38" t="s">
        <v>1070</v>
      </c>
      <c r="L402" s="38" t="s">
        <v>1071</v>
      </c>
      <c r="M402" s="38" t="s">
        <v>41</v>
      </c>
      <c r="N402" s="17" t="s">
        <v>43</v>
      </c>
      <c r="O402" s="39"/>
      <c r="P402" s="40" t="str">
        <f t="shared" si="3"/>
        <v>〇</v>
      </c>
      <c r="Q402" s="33" t="s">
        <v>59</v>
      </c>
      <c r="S402" s="33"/>
      <c r="T402" s="33"/>
    </row>
    <row r="403" hidden="1">
      <c r="A403" s="17">
        <f t="shared" si="2"/>
        <v>401</v>
      </c>
      <c r="B403" s="34" t="s">
        <v>1072</v>
      </c>
      <c r="C403" s="34" t="s">
        <v>1073</v>
      </c>
      <c r="D403" s="36" t="s">
        <v>1074</v>
      </c>
      <c r="E403" s="36"/>
      <c r="F403" s="17"/>
      <c r="G403" s="17" t="s">
        <v>7</v>
      </c>
      <c r="H403" s="38"/>
      <c r="I403" s="38"/>
      <c r="J403" s="38" t="s">
        <v>1075</v>
      </c>
      <c r="K403" s="38" t="s">
        <v>1076</v>
      </c>
      <c r="L403" s="38" t="s">
        <v>1077</v>
      </c>
      <c r="M403" s="38" t="s">
        <v>41</v>
      </c>
      <c r="N403" s="17" t="s">
        <v>43</v>
      </c>
      <c r="O403" s="39"/>
      <c r="P403" s="40" t="str">
        <f t="shared" si="3"/>
        <v>〇</v>
      </c>
      <c r="Q403" s="33" t="s">
        <v>45</v>
      </c>
      <c r="S403" s="33"/>
      <c r="T403" s="33"/>
    </row>
    <row r="404" hidden="1">
      <c r="A404" s="17">
        <f t="shared" si="2"/>
        <v>402</v>
      </c>
      <c r="B404" s="42" t="s">
        <v>1072</v>
      </c>
      <c r="C404" s="42" t="s">
        <v>1073</v>
      </c>
      <c r="D404" s="36" t="s">
        <v>1078</v>
      </c>
      <c r="E404" s="36"/>
      <c r="F404" s="17"/>
      <c r="G404" s="17" t="s">
        <v>7</v>
      </c>
      <c r="H404" s="38"/>
      <c r="I404" s="38"/>
      <c r="J404" s="38" t="s">
        <v>1075</v>
      </c>
      <c r="K404" s="38" t="s">
        <v>1079</v>
      </c>
      <c r="L404" s="38" t="s">
        <v>1080</v>
      </c>
      <c r="M404" s="38" t="s">
        <v>41</v>
      </c>
      <c r="N404" s="17" t="s">
        <v>43</v>
      </c>
      <c r="O404" s="39"/>
      <c r="P404" s="40" t="str">
        <f t="shared" si="3"/>
        <v>〇</v>
      </c>
      <c r="Q404" s="33" t="s">
        <v>45</v>
      </c>
      <c r="S404" s="33"/>
      <c r="T404" s="33"/>
    </row>
    <row r="405" hidden="1">
      <c r="A405" s="17">
        <f t="shared" si="2"/>
        <v>403</v>
      </c>
      <c r="B405" s="42" t="s">
        <v>1072</v>
      </c>
      <c r="C405" s="42" t="s">
        <v>1073</v>
      </c>
      <c r="D405" s="36" t="s">
        <v>1081</v>
      </c>
      <c r="E405" s="36"/>
      <c r="F405" s="17"/>
      <c r="G405" s="17" t="s">
        <v>7</v>
      </c>
      <c r="H405" s="38"/>
      <c r="I405" s="38"/>
      <c r="J405" s="38" t="s">
        <v>1075</v>
      </c>
      <c r="K405" s="38" t="s">
        <v>1082</v>
      </c>
      <c r="L405" s="38" t="s">
        <v>1083</v>
      </c>
      <c r="M405" s="38" t="s">
        <v>41</v>
      </c>
      <c r="N405" s="17" t="s">
        <v>43</v>
      </c>
      <c r="O405" s="39"/>
      <c r="P405" s="40" t="str">
        <f t="shared" si="3"/>
        <v>〇</v>
      </c>
      <c r="Q405" s="33" t="s">
        <v>45</v>
      </c>
      <c r="S405" s="33"/>
      <c r="T405" s="33"/>
    </row>
    <row r="406" hidden="1">
      <c r="A406" s="17">
        <f t="shared" si="2"/>
        <v>404</v>
      </c>
      <c r="B406" s="42" t="s">
        <v>1072</v>
      </c>
      <c r="C406" s="42" t="s">
        <v>1073</v>
      </c>
      <c r="D406" s="36" t="s">
        <v>1084</v>
      </c>
      <c r="E406" s="36"/>
      <c r="F406" s="17"/>
      <c r="G406" s="17" t="s">
        <v>7</v>
      </c>
      <c r="H406" s="38"/>
      <c r="I406" s="38"/>
      <c r="J406" s="38" t="s">
        <v>1075</v>
      </c>
      <c r="K406" s="38" t="s">
        <v>1085</v>
      </c>
      <c r="L406" s="38" t="s">
        <v>1086</v>
      </c>
      <c r="M406" s="38" t="s">
        <v>41</v>
      </c>
      <c r="N406" s="17" t="s">
        <v>43</v>
      </c>
      <c r="O406" s="39"/>
      <c r="P406" s="40" t="str">
        <f t="shared" si="3"/>
        <v>〇</v>
      </c>
      <c r="Q406" s="33" t="s">
        <v>45</v>
      </c>
      <c r="S406" s="33"/>
      <c r="T406" s="33"/>
    </row>
    <row r="407" hidden="1">
      <c r="A407" s="17">
        <f t="shared" si="2"/>
        <v>405</v>
      </c>
      <c r="B407" s="42" t="s">
        <v>1072</v>
      </c>
      <c r="C407" s="42" t="s">
        <v>1073</v>
      </c>
      <c r="D407" s="36" t="s">
        <v>1087</v>
      </c>
      <c r="E407" s="36"/>
      <c r="F407" s="17"/>
      <c r="G407" s="17" t="s">
        <v>7</v>
      </c>
      <c r="H407" s="38"/>
      <c r="I407" s="38"/>
      <c r="J407" s="38" t="s">
        <v>1075</v>
      </c>
      <c r="K407" s="38" t="s">
        <v>1088</v>
      </c>
      <c r="L407" s="38" t="s">
        <v>1089</v>
      </c>
      <c r="M407" s="38" t="s">
        <v>41</v>
      </c>
      <c r="N407" s="17" t="s">
        <v>43</v>
      </c>
      <c r="O407" s="13"/>
      <c r="P407" s="40" t="str">
        <f t="shared" si="3"/>
        <v>〇</v>
      </c>
      <c r="Q407" s="33" t="s">
        <v>45</v>
      </c>
      <c r="S407" s="33"/>
      <c r="T407" s="33"/>
    </row>
    <row r="408" hidden="1">
      <c r="A408" s="17">
        <f t="shared" si="2"/>
        <v>406</v>
      </c>
      <c r="B408" s="42" t="s">
        <v>1072</v>
      </c>
      <c r="C408" s="34" t="s">
        <v>1090</v>
      </c>
      <c r="D408" s="36" t="s">
        <v>1091</v>
      </c>
      <c r="E408" s="36"/>
      <c r="F408" s="17"/>
      <c r="G408" s="17" t="s">
        <v>7</v>
      </c>
      <c r="H408" s="38"/>
      <c r="I408" s="38" t="s">
        <v>1092</v>
      </c>
      <c r="J408" s="38" t="s">
        <v>1075</v>
      </c>
      <c r="K408" s="38" t="s">
        <v>1093</v>
      </c>
      <c r="L408" s="38" t="s">
        <v>1094</v>
      </c>
      <c r="M408" s="38" t="s">
        <v>41</v>
      </c>
      <c r="N408" s="17" t="s">
        <v>43</v>
      </c>
      <c r="O408" s="39"/>
      <c r="P408" s="40" t="str">
        <f t="shared" si="3"/>
        <v>〇</v>
      </c>
      <c r="Q408" s="33" t="s">
        <v>45</v>
      </c>
      <c r="S408" s="33"/>
      <c r="T408" s="33"/>
    </row>
    <row r="409" hidden="1">
      <c r="A409" s="17">
        <f t="shared" si="2"/>
        <v>407</v>
      </c>
      <c r="B409" s="42" t="s">
        <v>1072</v>
      </c>
      <c r="C409" s="42" t="s">
        <v>1090</v>
      </c>
      <c r="D409" s="36" t="s">
        <v>1095</v>
      </c>
      <c r="E409" s="36"/>
      <c r="F409" s="17"/>
      <c r="G409" s="17" t="s">
        <v>7</v>
      </c>
      <c r="H409" s="38"/>
      <c r="I409" s="38"/>
      <c r="J409" s="38" t="s">
        <v>1075</v>
      </c>
      <c r="K409" s="38" t="s">
        <v>1096</v>
      </c>
      <c r="L409" s="38" t="s">
        <v>1097</v>
      </c>
      <c r="M409" s="38" t="s">
        <v>41</v>
      </c>
      <c r="N409" s="17" t="s">
        <v>43</v>
      </c>
      <c r="O409" s="39"/>
      <c r="P409" s="40" t="str">
        <f t="shared" si="3"/>
        <v>〇</v>
      </c>
      <c r="Q409" s="33" t="s">
        <v>45</v>
      </c>
      <c r="S409" s="33"/>
      <c r="T409" s="33"/>
    </row>
    <row r="410" hidden="1">
      <c r="A410" s="17">
        <f t="shared" si="2"/>
        <v>408</v>
      </c>
      <c r="B410" s="42" t="s">
        <v>1072</v>
      </c>
      <c r="C410" s="42" t="s">
        <v>1090</v>
      </c>
      <c r="D410" s="36" t="s">
        <v>1087</v>
      </c>
      <c r="E410" s="36"/>
      <c r="F410" s="17"/>
      <c r="G410" s="17" t="s">
        <v>7</v>
      </c>
      <c r="H410" s="38"/>
      <c r="I410" s="38"/>
      <c r="J410" s="38" t="s">
        <v>1075</v>
      </c>
      <c r="K410" s="38" t="s">
        <v>1098</v>
      </c>
      <c r="L410" s="38" t="s">
        <v>1099</v>
      </c>
      <c r="M410" s="38" t="s">
        <v>41</v>
      </c>
      <c r="N410" s="17" t="s">
        <v>43</v>
      </c>
      <c r="O410" s="39"/>
      <c r="P410" s="40" t="str">
        <f t="shared" si="3"/>
        <v>〇</v>
      </c>
      <c r="Q410" s="33" t="s">
        <v>45</v>
      </c>
      <c r="S410" s="33"/>
      <c r="T410" s="33"/>
    </row>
    <row r="411" hidden="1">
      <c r="A411" s="17">
        <f t="shared" si="2"/>
        <v>409</v>
      </c>
      <c r="B411" s="42" t="s">
        <v>1072</v>
      </c>
      <c r="C411" s="36" t="s">
        <v>1100</v>
      </c>
      <c r="D411" s="96"/>
      <c r="E411" s="36"/>
      <c r="F411" s="17"/>
      <c r="G411" s="17" t="s">
        <v>7</v>
      </c>
      <c r="H411" s="38"/>
      <c r="I411" s="38"/>
      <c r="J411" s="38" t="s">
        <v>1075</v>
      </c>
      <c r="K411" s="38" t="s">
        <v>1101</v>
      </c>
      <c r="L411" s="38" t="s">
        <v>1102</v>
      </c>
      <c r="M411" s="38" t="s">
        <v>41</v>
      </c>
      <c r="N411" s="17" t="s">
        <v>43</v>
      </c>
      <c r="O411" s="39"/>
      <c r="P411" s="40" t="str">
        <f t="shared" si="3"/>
        <v>〇</v>
      </c>
      <c r="Q411" s="33" t="s">
        <v>45</v>
      </c>
      <c r="S411" s="33"/>
      <c r="T411" s="33"/>
    </row>
    <row r="412" hidden="1">
      <c r="A412" s="17">
        <f t="shared" si="2"/>
        <v>410</v>
      </c>
      <c r="B412" s="42" t="s">
        <v>1072</v>
      </c>
      <c r="C412" s="36" t="s">
        <v>1103</v>
      </c>
      <c r="D412" s="36"/>
      <c r="E412" s="36"/>
      <c r="F412" s="17"/>
      <c r="G412" s="17" t="s">
        <v>7</v>
      </c>
      <c r="H412" s="38"/>
      <c r="I412" s="38"/>
      <c r="J412" s="38" t="s">
        <v>1075</v>
      </c>
      <c r="K412" s="38" t="s">
        <v>1104</v>
      </c>
      <c r="L412" s="38" t="s">
        <v>1105</v>
      </c>
      <c r="M412" s="38" t="s">
        <v>41</v>
      </c>
      <c r="N412" s="17" t="s">
        <v>43</v>
      </c>
      <c r="O412" s="39"/>
      <c r="P412" s="40" t="str">
        <f t="shared" si="3"/>
        <v>〇</v>
      </c>
      <c r="Q412" s="33" t="s">
        <v>45</v>
      </c>
      <c r="S412" s="33"/>
      <c r="T412" s="33"/>
    </row>
    <row r="413" hidden="1">
      <c r="A413" s="17">
        <f t="shared" si="2"/>
        <v>411</v>
      </c>
      <c r="B413" s="34" t="s">
        <v>1106</v>
      </c>
      <c r="C413" s="34" t="s">
        <v>1090</v>
      </c>
      <c r="D413" s="36" t="s">
        <v>1091</v>
      </c>
      <c r="E413" s="36"/>
      <c r="F413" s="17"/>
      <c r="G413" s="17" t="s">
        <v>7</v>
      </c>
      <c r="H413" s="38"/>
      <c r="I413" s="38"/>
      <c r="J413" s="38" t="s">
        <v>1107</v>
      </c>
      <c r="K413" s="38" t="s">
        <v>1093</v>
      </c>
      <c r="L413" s="38" t="s">
        <v>1094</v>
      </c>
      <c r="M413" s="38" t="s">
        <v>41</v>
      </c>
      <c r="N413" s="17" t="s">
        <v>43</v>
      </c>
      <c r="O413" s="39"/>
      <c r="P413" s="40" t="str">
        <f t="shared" si="3"/>
        <v>〇</v>
      </c>
      <c r="Q413" s="33" t="s">
        <v>45</v>
      </c>
      <c r="S413" s="33"/>
      <c r="T413" s="33"/>
    </row>
    <row r="414" hidden="1">
      <c r="A414" s="17">
        <f t="shared" si="2"/>
        <v>412</v>
      </c>
      <c r="B414" s="42" t="s">
        <v>1106</v>
      </c>
      <c r="C414" s="42" t="s">
        <v>1090</v>
      </c>
      <c r="D414" s="36" t="s">
        <v>1095</v>
      </c>
      <c r="E414" s="36"/>
      <c r="F414" s="17"/>
      <c r="G414" s="17" t="s">
        <v>7</v>
      </c>
      <c r="H414" s="38"/>
      <c r="I414" s="38"/>
      <c r="J414" s="38" t="s">
        <v>1107</v>
      </c>
      <c r="K414" s="38" t="s">
        <v>1096</v>
      </c>
      <c r="L414" s="38" t="s">
        <v>1097</v>
      </c>
      <c r="M414" s="38" t="s">
        <v>41</v>
      </c>
      <c r="N414" s="17" t="s">
        <v>43</v>
      </c>
      <c r="O414" s="39"/>
      <c r="P414" s="40" t="str">
        <f t="shared" si="3"/>
        <v>〇</v>
      </c>
      <c r="Q414" s="33" t="s">
        <v>45</v>
      </c>
      <c r="S414" s="33"/>
      <c r="T414" s="33"/>
    </row>
    <row r="415" hidden="1">
      <c r="A415" s="17">
        <f t="shared" si="2"/>
        <v>413</v>
      </c>
      <c r="B415" s="42" t="s">
        <v>1106</v>
      </c>
      <c r="C415" s="42" t="s">
        <v>1090</v>
      </c>
      <c r="D415" s="36" t="s">
        <v>1087</v>
      </c>
      <c r="E415" s="36"/>
      <c r="F415" s="17"/>
      <c r="G415" s="17" t="s">
        <v>7</v>
      </c>
      <c r="H415" s="38"/>
      <c r="I415" s="38"/>
      <c r="J415" s="38" t="s">
        <v>1107</v>
      </c>
      <c r="K415" s="38" t="s">
        <v>1098</v>
      </c>
      <c r="L415" s="38" t="s">
        <v>1099</v>
      </c>
      <c r="M415" s="38" t="s">
        <v>41</v>
      </c>
      <c r="N415" s="17" t="s">
        <v>43</v>
      </c>
      <c r="O415" s="39"/>
      <c r="P415" s="40" t="str">
        <f t="shared" si="3"/>
        <v>〇</v>
      </c>
      <c r="Q415" s="33" t="s">
        <v>45</v>
      </c>
      <c r="S415" s="33"/>
      <c r="T415" s="33"/>
    </row>
    <row r="416">
      <c r="A416" s="17">
        <f t="shared" si="2"/>
        <v>414</v>
      </c>
      <c r="B416" s="63" t="s">
        <v>1106</v>
      </c>
      <c r="C416" s="60" t="s">
        <v>377</v>
      </c>
      <c r="D416" s="61" t="s">
        <v>1091</v>
      </c>
      <c r="E416" s="61"/>
      <c r="F416" s="17"/>
      <c r="G416" s="17" t="s">
        <v>9</v>
      </c>
      <c r="H416" s="38"/>
      <c r="I416" s="38"/>
      <c r="J416" s="38" t="s">
        <v>1107</v>
      </c>
      <c r="K416" s="38" t="s">
        <v>1108</v>
      </c>
      <c r="L416" s="38" t="s">
        <v>1109</v>
      </c>
      <c r="M416" s="38"/>
      <c r="N416" s="44" t="s">
        <v>23</v>
      </c>
      <c r="O416" s="11" t="s">
        <v>1110</v>
      </c>
    </row>
    <row r="417">
      <c r="A417" s="17">
        <f t="shared" si="2"/>
        <v>415</v>
      </c>
      <c r="B417" s="63" t="s">
        <v>1106</v>
      </c>
      <c r="C417" s="63" t="s">
        <v>377</v>
      </c>
      <c r="D417" s="61" t="s">
        <v>1095</v>
      </c>
      <c r="E417" s="61"/>
      <c r="F417" s="17"/>
      <c r="G417" s="17" t="s">
        <v>9</v>
      </c>
      <c r="H417" s="38"/>
      <c r="I417" s="38"/>
      <c r="J417" s="38" t="s">
        <v>1107</v>
      </c>
      <c r="K417" s="38" t="s">
        <v>1111</v>
      </c>
      <c r="L417" s="38" t="s">
        <v>1112</v>
      </c>
      <c r="M417" s="38"/>
      <c r="N417" s="44" t="s">
        <v>23</v>
      </c>
      <c r="O417" s="11" t="s">
        <v>1110</v>
      </c>
    </row>
    <row r="418">
      <c r="A418" s="17">
        <f t="shared" si="2"/>
        <v>416</v>
      </c>
      <c r="B418" s="63" t="s">
        <v>1106</v>
      </c>
      <c r="C418" s="63" t="s">
        <v>377</v>
      </c>
      <c r="D418" s="61" t="s">
        <v>1087</v>
      </c>
      <c r="E418" s="61"/>
      <c r="F418" s="17"/>
      <c r="G418" s="17" t="s">
        <v>9</v>
      </c>
      <c r="H418" s="38"/>
      <c r="I418" s="38"/>
      <c r="J418" s="38" t="s">
        <v>1107</v>
      </c>
      <c r="K418" s="38" t="s">
        <v>1113</v>
      </c>
      <c r="L418" s="38" t="s">
        <v>1114</v>
      </c>
      <c r="M418" s="38"/>
      <c r="N418" s="44" t="s">
        <v>23</v>
      </c>
      <c r="O418" s="11" t="s">
        <v>1110</v>
      </c>
    </row>
    <row r="419">
      <c r="A419" s="17">
        <f t="shared" si="2"/>
        <v>417</v>
      </c>
      <c r="B419" s="63" t="s">
        <v>1106</v>
      </c>
      <c r="C419" s="60" t="s">
        <v>1024</v>
      </c>
      <c r="D419" s="61" t="s">
        <v>1091</v>
      </c>
      <c r="E419" s="61"/>
      <c r="F419" s="17"/>
      <c r="G419" s="17" t="s">
        <v>9</v>
      </c>
      <c r="H419" s="38"/>
      <c r="I419" s="38"/>
      <c r="J419" s="38" t="s">
        <v>1107</v>
      </c>
      <c r="K419" s="38" t="s">
        <v>1115</v>
      </c>
      <c r="L419" s="38" t="s">
        <v>1116</v>
      </c>
      <c r="M419" s="38"/>
      <c r="N419" s="44" t="s">
        <v>23</v>
      </c>
      <c r="O419" s="11" t="s">
        <v>1110</v>
      </c>
    </row>
    <row r="420">
      <c r="A420" s="17">
        <f t="shared" si="2"/>
        <v>418</v>
      </c>
      <c r="B420" s="63" t="s">
        <v>1106</v>
      </c>
      <c r="C420" s="63" t="s">
        <v>1024</v>
      </c>
      <c r="D420" s="61" t="s">
        <v>1095</v>
      </c>
      <c r="E420" s="61"/>
      <c r="F420" s="17"/>
      <c r="G420" s="17" t="s">
        <v>9</v>
      </c>
      <c r="H420" s="38"/>
      <c r="I420" s="38"/>
      <c r="J420" s="38" t="s">
        <v>1107</v>
      </c>
      <c r="K420" s="38" t="s">
        <v>1117</v>
      </c>
      <c r="L420" s="38" t="s">
        <v>1118</v>
      </c>
      <c r="M420" s="38"/>
      <c r="N420" s="44" t="s">
        <v>23</v>
      </c>
      <c r="O420" s="11" t="s">
        <v>1110</v>
      </c>
    </row>
    <row r="421">
      <c r="A421" s="17">
        <f t="shared" si="2"/>
        <v>419</v>
      </c>
      <c r="B421" s="63" t="s">
        <v>1106</v>
      </c>
      <c r="C421" s="63" t="s">
        <v>1024</v>
      </c>
      <c r="D421" s="61" t="s">
        <v>1087</v>
      </c>
      <c r="E421" s="61"/>
      <c r="F421" s="17"/>
      <c r="G421" s="17" t="s">
        <v>9</v>
      </c>
      <c r="H421" s="38"/>
      <c r="I421" s="38"/>
      <c r="J421" s="38" t="s">
        <v>1107</v>
      </c>
      <c r="K421" s="38" t="s">
        <v>1119</v>
      </c>
      <c r="L421" s="38" t="s">
        <v>1120</v>
      </c>
      <c r="M421" s="38"/>
      <c r="N421" s="44" t="s">
        <v>23</v>
      </c>
      <c r="O421" s="11" t="s">
        <v>1110</v>
      </c>
    </row>
    <row r="422">
      <c r="A422" s="17">
        <f t="shared" si="2"/>
        <v>420</v>
      </c>
      <c r="B422" s="63" t="s">
        <v>1106</v>
      </c>
      <c r="C422" s="61" t="s">
        <v>3</v>
      </c>
      <c r="D422" s="61" t="s">
        <v>1091</v>
      </c>
      <c r="E422" s="61"/>
      <c r="F422" s="17"/>
      <c r="G422" s="17" t="s">
        <v>9</v>
      </c>
      <c r="H422" s="38"/>
      <c r="I422" s="38"/>
      <c r="J422" s="38" t="s">
        <v>1107</v>
      </c>
      <c r="K422" s="38" t="s">
        <v>1121</v>
      </c>
      <c r="L422" s="38" t="s">
        <v>1122</v>
      </c>
      <c r="M422" s="38"/>
      <c r="N422" s="44" t="s">
        <v>23</v>
      </c>
      <c r="O422" s="11" t="s">
        <v>1110</v>
      </c>
    </row>
    <row r="423">
      <c r="A423" s="17">
        <f t="shared" si="2"/>
        <v>421</v>
      </c>
      <c r="B423" s="63" t="s">
        <v>1106</v>
      </c>
      <c r="C423" s="63" t="s">
        <v>3</v>
      </c>
      <c r="D423" s="61" t="s">
        <v>1087</v>
      </c>
      <c r="E423" s="61"/>
      <c r="F423" s="17"/>
      <c r="G423" s="17" t="s">
        <v>9</v>
      </c>
      <c r="H423" s="38"/>
      <c r="I423" s="38"/>
      <c r="J423" s="38" t="s">
        <v>1107</v>
      </c>
      <c r="K423" s="38" t="s">
        <v>1123</v>
      </c>
      <c r="L423" s="38" t="s">
        <v>1124</v>
      </c>
      <c r="M423" s="38"/>
      <c r="N423" s="44" t="s">
        <v>23</v>
      </c>
      <c r="O423" s="11" t="s">
        <v>1110</v>
      </c>
    </row>
    <row r="424" hidden="1">
      <c r="A424" s="17">
        <f t="shared" si="2"/>
        <v>422</v>
      </c>
      <c r="B424" s="63" t="s">
        <v>1106</v>
      </c>
      <c r="C424" s="36" t="s">
        <v>1125</v>
      </c>
      <c r="D424" s="36" t="s">
        <v>32</v>
      </c>
      <c r="E424" s="36"/>
      <c r="F424" s="17"/>
      <c r="G424" s="17" t="s">
        <v>2</v>
      </c>
      <c r="H424" s="38"/>
      <c r="I424" s="38"/>
      <c r="J424" s="38" t="s">
        <v>1107</v>
      </c>
      <c r="K424" s="38" t="s">
        <v>1126</v>
      </c>
      <c r="L424" s="38" t="s">
        <v>1127</v>
      </c>
      <c r="M424" s="38" t="s">
        <v>41</v>
      </c>
      <c r="N424" s="17" t="s">
        <v>43</v>
      </c>
      <c r="O424" s="39" t="s">
        <v>1128</v>
      </c>
      <c r="P424" s="40" t="str">
        <f t="shared" ref="P424:Q424" si="4">IF(ISNUMBER(SEARCH("Auto",M424)),"〇","×")</f>
        <v>〇</v>
      </c>
      <c r="Q424" s="40" t="str">
        <f t="shared" si="4"/>
        <v>×</v>
      </c>
      <c r="S424" s="33"/>
      <c r="T424" s="33"/>
    </row>
    <row r="425" hidden="1">
      <c r="A425" s="17">
        <f t="shared" si="2"/>
        <v>423</v>
      </c>
      <c r="B425" s="63" t="s">
        <v>1106</v>
      </c>
      <c r="C425" s="63" t="s">
        <v>1125</v>
      </c>
      <c r="D425" s="36" t="s">
        <v>405</v>
      </c>
      <c r="E425" s="36"/>
      <c r="F425" s="17"/>
      <c r="G425" s="17" t="s">
        <v>2</v>
      </c>
      <c r="H425" s="38"/>
      <c r="I425" s="38" t="s">
        <v>1129</v>
      </c>
      <c r="J425" s="38" t="s">
        <v>1107</v>
      </c>
      <c r="K425" s="38" t="s">
        <v>1130</v>
      </c>
      <c r="L425" s="38" t="s">
        <v>1131</v>
      </c>
      <c r="M425" s="38" t="s">
        <v>41</v>
      </c>
      <c r="N425" s="17" t="s">
        <v>43</v>
      </c>
      <c r="O425" s="39" t="s">
        <v>1128</v>
      </c>
      <c r="P425" s="40" t="str">
        <f t="shared" ref="P425:Q425" si="5">IF(ISNUMBER(SEARCH("Auto",M425)),"〇","×")</f>
        <v>〇</v>
      </c>
      <c r="Q425" s="40" t="str">
        <f t="shared" si="5"/>
        <v>×</v>
      </c>
      <c r="S425" s="33"/>
      <c r="T425" s="33"/>
    </row>
    <row r="426" hidden="1">
      <c r="A426" s="17">
        <f t="shared" si="2"/>
        <v>424</v>
      </c>
      <c r="B426" s="42" t="s">
        <v>1106</v>
      </c>
      <c r="C426" s="36" t="s">
        <v>1100</v>
      </c>
      <c r="D426" s="36"/>
      <c r="E426" s="36"/>
      <c r="F426" s="17"/>
      <c r="G426" s="17" t="s">
        <v>7</v>
      </c>
      <c r="H426" s="38"/>
      <c r="I426" s="38"/>
      <c r="J426" s="38" t="s">
        <v>1107</v>
      </c>
      <c r="K426" s="38" t="s">
        <v>1101</v>
      </c>
      <c r="L426" s="38" t="s">
        <v>1102</v>
      </c>
      <c r="M426" s="38" t="s">
        <v>41</v>
      </c>
      <c r="N426" s="17" t="s">
        <v>43</v>
      </c>
      <c r="O426" s="39"/>
      <c r="P426" s="40" t="str">
        <f t="shared" ref="P426:P448" si="6">IF(ISNUMBER(SEARCH("Auto",M426)),"〇","×")</f>
        <v>〇</v>
      </c>
      <c r="Q426" s="33" t="s">
        <v>45</v>
      </c>
      <c r="S426" s="33"/>
      <c r="T426" s="33"/>
    </row>
    <row r="427" hidden="1">
      <c r="A427" s="17">
        <f t="shared" si="2"/>
        <v>425</v>
      </c>
      <c r="B427" s="42" t="s">
        <v>1106</v>
      </c>
      <c r="C427" s="36" t="s">
        <v>1103</v>
      </c>
      <c r="D427" s="36"/>
      <c r="E427" s="36"/>
      <c r="F427" s="17"/>
      <c r="G427" s="17" t="s">
        <v>7</v>
      </c>
      <c r="H427" s="38"/>
      <c r="I427" s="38"/>
      <c r="J427" s="38" t="s">
        <v>1107</v>
      </c>
      <c r="K427" s="38" t="s">
        <v>1104</v>
      </c>
      <c r="L427" s="38" t="s">
        <v>1105</v>
      </c>
      <c r="M427" s="38" t="s">
        <v>41</v>
      </c>
      <c r="N427" s="17" t="s">
        <v>43</v>
      </c>
      <c r="O427" s="39"/>
      <c r="P427" s="40" t="str">
        <f t="shared" si="6"/>
        <v>〇</v>
      </c>
      <c r="Q427" s="33" t="s">
        <v>45</v>
      </c>
      <c r="S427" s="33"/>
      <c r="T427" s="33"/>
    </row>
    <row r="428" hidden="1">
      <c r="A428" s="17">
        <f t="shared" si="2"/>
        <v>426</v>
      </c>
      <c r="B428" s="34" t="s">
        <v>1132</v>
      </c>
      <c r="C428" s="36" t="s">
        <v>1091</v>
      </c>
      <c r="D428" s="36"/>
      <c r="E428" s="36"/>
      <c r="F428" s="17"/>
      <c r="G428" s="17" t="s">
        <v>7</v>
      </c>
      <c r="H428" s="38"/>
      <c r="I428" s="38"/>
      <c r="J428" s="38" t="s">
        <v>1133</v>
      </c>
      <c r="K428" s="38" t="s">
        <v>1134</v>
      </c>
      <c r="L428" s="38" t="s">
        <v>1135</v>
      </c>
      <c r="M428" s="38" t="s">
        <v>41</v>
      </c>
      <c r="N428" s="17" t="s">
        <v>43</v>
      </c>
      <c r="O428" s="39"/>
      <c r="P428" s="40" t="str">
        <f t="shared" si="6"/>
        <v>〇</v>
      </c>
      <c r="Q428" s="33" t="s">
        <v>45</v>
      </c>
      <c r="S428" s="33"/>
      <c r="T428" s="33"/>
    </row>
    <row r="429" hidden="1">
      <c r="A429" s="17">
        <f t="shared" si="2"/>
        <v>427</v>
      </c>
      <c r="B429" s="42" t="s">
        <v>1132</v>
      </c>
      <c r="C429" s="36" t="s">
        <v>1136</v>
      </c>
      <c r="D429" s="36"/>
      <c r="E429" s="36"/>
      <c r="F429" s="17"/>
      <c r="G429" s="17" t="s">
        <v>7</v>
      </c>
      <c r="H429" s="38"/>
      <c r="I429" s="38"/>
      <c r="J429" s="38" t="s">
        <v>1133</v>
      </c>
      <c r="K429" s="38" t="s">
        <v>1137</v>
      </c>
      <c r="L429" s="38" t="s">
        <v>1138</v>
      </c>
      <c r="M429" s="38" t="s">
        <v>41</v>
      </c>
      <c r="N429" s="17" t="s">
        <v>43</v>
      </c>
      <c r="O429" s="39"/>
      <c r="P429" s="40" t="str">
        <f t="shared" si="6"/>
        <v>〇</v>
      </c>
      <c r="Q429" s="33" t="s">
        <v>45</v>
      </c>
      <c r="S429" s="33"/>
      <c r="T429" s="33"/>
    </row>
    <row r="430" hidden="1">
      <c r="A430" s="17">
        <f t="shared" si="2"/>
        <v>428</v>
      </c>
      <c r="B430" s="42" t="s">
        <v>1132</v>
      </c>
      <c r="C430" s="36" t="s">
        <v>1100</v>
      </c>
      <c r="D430" s="36"/>
      <c r="E430" s="36"/>
      <c r="F430" s="17"/>
      <c r="G430" s="17" t="s">
        <v>7</v>
      </c>
      <c r="H430" s="38"/>
      <c r="I430" s="38"/>
      <c r="J430" s="38" t="s">
        <v>1133</v>
      </c>
      <c r="K430" s="38" t="s">
        <v>1101</v>
      </c>
      <c r="L430" s="38" t="s">
        <v>1102</v>
      </c>
      <c r="M430" s="38" t="s">
        <v>41</v>
      </c>
      <c r="N430" s="17" t="s">
        <v>43</v>
      </c>
      <c r="O430" s="39"/>
      <c r="P430" s="40" t="str">
        <f t="shared" si="6"/>
        <v>〇</v>
      </c>
      <c r="Q430" s="33" t="s">
        <v>45</v>
      </c>
      <c r="S430" s="33"/>
      <c r="T430" s="33"/>
    </row>
    <row r="431" hidden="1">
      <c r="A431" s="17">
        <f t="shared" si="2"/>
        <v>429</v>
      </c>
      <c r="B431" s="42" t="s">
        <v>1132</v>
      </c>
      <c r="C431" s="36" t="s">
        <v>1103</v>
      </c>
      <c r="D431" s="36"/>
      <c r="E431" s="36"/>
      <c r="F431" s="17"/>
      <c r="G431" s="17" t="s">
        <v>7</v>
      </c>
      <c r="H431" s="38"/>
      <c r="I431" s="38"/>
      <c r="J431" s="38" t="s">
        <v>1133</v>
      </c>
      <c r="K431" s="38" t="s">
        <v>1104</v>
      </c>
      <c r="L431" s="38" t="s">
        <v>1105</v>
      </c>
      <c r="M431" s="38" t="s">
        <v>41</v>
      </c>
      <c r="N431" s="17" t="s">
        <v>43</v>
      </c>
      <c r="O431" s="39"/>
      <c r="P431" s="40" t="str">
        <f t="shared" si="6"/>
        <v>〇</v>
      </c>
      <c r="Q431" s="33" t="s">
        <v>45</v>
      </c>
      <c r="S431" s="33"/>
      <c r="T431" s="33"/>
    </row>
    <row r="432" hidden="1">
      <c r="A432" s="17">
        <f t="shared" si="2"/>
        <v>430</v>
      </c>
      <c r="B432" s="34" t="s">
        <v>1139</v>
      </c>
      <c r="C432" s="34" t="s">
        <v>1140</v>
      </c>
      <c r="D432" s="36"/>
      <c r="E432" s="36"/>
      <c r="F432" s="17"/>
      <c r="G432" s="17" t="s">
        <v>2</v>
      </c>
      <c r="H432" s="38"/>
      <c r="I432" s="38"/>
      <c r="J432" s="38" t="s">
        <v>1141</v>
      </c>
      <c r="K432" s="38" t="s">
        <v>1142</v>
      </c>
      <c r="L432" s="38" t="s">
        <v>1143</v>
      </c>
      <c r="M432" s="38" t="s">
        <v>41</v>
      </c>
      <c r="N432" s="17" t="s">
        <v>43</v>
      </c>
      <c r="O432" s="48"/>
      <c r="P432" s="40" t="str">
        <f t="shared" si="6"/>
        <v>〇</v>
      </c>
      <c r="Q432" s="33" t="s">
        <v>45</v>
      </c>
      <c r="S432" s="33"/>
      <c r="T432" s="33"/>
    </row>
    <row r="433" hidden="1">
      <c r="A433" s="17">
        <f t="shared" si="2"/>
        <v>431</v>
      </c>
      <c r="B433" s="42" t="s">
        <v>1139</v>
      </c>
      <c r="C433" s="34" t="s">
        <v>405</v>
      </c>
      <c r="D433" s="36"/>
      <c r="E433" s="36"/>
      <c r="F433" s="17"/>
      <c r="G433" s="17" t="s">
        <v>2</v>
      </c>
      <c r="H433" s="38"/>
      <c r="I433" s="38"/>
      <c r="J433" s="38" t="s">
        <v>1141</v>
      </c>
      <c r="K433" s="38" t="s">
        <v>1144</v>
      </c>
      <c r="L433" s="38" t="s">
        <v>1145</v>
      </c>
      <c r="M433" s="38" t="s">
        <v>41</v>
      </c>
      <c r="N433" s="17" t="s">
        <v>43</v>
      </c>
      <c r="O433" s="48"/>
      <c r="P433" s="40" t="str">
        <f t="shared" si="6"/>
        <v>〇</v>
      </c>
      <c r="Q433" s="33" t="s">
        <v>45</v>
      </c>
      <c r="S433" s="33"/>
      <c r="T433" s="33"/>
    </row>
    <row r="434" hidden="1">
      <c r="A434" s="17">
        <f t="shared" si="2"/>
        <v>432</v>
      </c>
      <c r="B434" s="34" t="s">
        <v>1146</v>
      </c>
      <c r="C434" s="34" t="s">
        <v>1147</v>
      </c>
      <c r="D434" s="36" t="s">
        <v>1148</v>
      </c>
      <c r="E434" s="36"/>
      <c r="F434" s="17"/>
      <c r="G434" s="17" t="s">
        <v>7</v>
      </c>
      <c r="H434" s="38"/>
      <c r="I434" s="38"/>
      <c r="J434" s="38" t="s">
        <v>1149</v>
      </c>
      <c r="K434" s="38" t="s">
        <v>1150</v>
      </c>
      <c r="L434" s="38" t="s">
        <v>1151</v>
      </c>
      <c r="M434" s="38" t="s">
        <v>41</v>
      </c>
      <c r="N434" s="17" t="s">
        <v>43</v>
      </c>
      <c r="O434" s="48"/>
      <c r="P434" s="40" t="str">
        <f t="shared" si="6"/>
        <v>〇</v>
      </c>
      <c r="Q434" s="33" t="s">
        <v>45</v>
      </c>
      <c r="S434" s="33"/>
      <c r="T434" s="33"/>
    </row>
    <row r="435" hidden="1">
      <c r="A435" s="17">
        <f t="shared" si="2"/>
        <v>433</v>
      </c>
      <c r="B435" s="42" t="s">
        <v>1146</v>
      </c>
      <c r="C435" s="42" t="s">
        <v>1147</v>
      </c>
      <c r="D435" s="36" t="s">
        <v>1152</v>
      </c>
      <c r="E435" s="36"/>
      <c r="F435" s="17"/>
      <c r="G435" s="17" t="s">
        <v>7</v>
      </c>
      <c r="H435" s="38"/>
      <c r="I435" s="38"/>
      <c r="J435" s="38" t="s">
        <v>1149</v>
      </c>
      <c r="K435" s="38" t="s">
        <v>1153</v>
      </c>
      <c r="L435" s="38" t="s">
        <v>1154</v>
      </c>
      <c r="M435" s="38" t="s">
        <v>41</v>
      </c>
      <c r="N435" s="17" t="s">
        <v>43</v>
      </c>
      <c r="O435" s="39"/>
      <c r="P435" s="40" t="str">
        <f t="shared" si="6"/>
        <v>〇</v>
      </c>
      <c r="Q435" s="33" t="s">
        <v>45</v>
      </c>
      <c r="S435" s="33"/>
      <c r="T435" s="33"/>
    </row>
    <row r="436" hidden="1">
      <c r="A436" s="17">
        <f t="shared" si="2"/>
        <v>434</v>
      </c>
      <c r="B436" s="42" t="s">
        <v>1146</v>
      </c>
      <c r="C436" s="42" t="s">
        <v>1147</v>
      </c>
      <c r="D436" s="36" t="s">
        <v>1155</v>
      </c>
      <c r="E436" s="36"/>
      <c r="F436" s="17"/>
      <c r="G436" s="17" t="s">
        <v>7</v>
      </c>
      <c r="H436" s="38"/>
      <c r="I436" s="38"/>
      <c r="J436" s="38" t="s">
        <v>1149</v>
      </c>
      <c r="K436" s="38" t="s">
        <v>1156</v>
      </c>
      <c r="L436" s="38" t="s">
        <v>1157</v>
      </c>
      <c r="M436" s="38" t="s">
        <v>41</v>
      </c>
      <c r="N436" s="17" t="s">
        <v>43</v>
      </c>
      <c r="O436" s="39"/>
      <c r="P436" s="40" t="str">
        <f t="shared" si="6"/>
        <v>〇</v>
      </c>
      <c r="Q436" s="33" t="s">
        <v>45</v>
      </c>
      <c r="S436" s="33"/>
      <c r="T436" s="33"/>
    </row>
    <row r="437" hidden="1">
      <c r="A437" s="17">
        <f t="shared" si="2"/>
        <v>435</v>
      </c>
      <c r="B437" s="42" t="s">
        <v>1146</v>
      </c>
      <c r="C437" s="34" t="s">
        <v>1158</v>
      </c>
      <c r="D437" s="36" t="s">
        <v>1148</v>
      </c>
      <c r="E437" s="36"/>
      <c r="F437" s="17"/>
      <c r="G437" s="17" t="s">
        <v>7</v>
      </c>
      <c r="H437" s="38"/>
      <c r="I437" s="38"/>
      <c r="J437" s="38" t="s">
        <v>1149</v>
      </c>
      <c r="K437" s="38" t="s">
        <v>1159</v>
      </c>
      <c r="L437" s="38" t="s">
        <v>1160</v>
      </c>
      <c r="M437" s="38" t="s">
        <v>41</v>
      </c>
      <c r="N437" s="17" t="s">
        <v>43</v>
      </c>
      <c r="O437" s="39"/>
      <c r="P437" s="40" t="str">
        <f t="shared" si="6"/>
        <v>〇</v>
      </c>
      <c r="Q437" s="33" t="s">
        <v>45</v>
      </c>
      <c r="S437" s="33"/>
      <c r="T437" s="33"/>
    </row>
    <row r="438" hidden="1">
      <c r="A438" s="17">
        <f t="shared" si="2"/>
        <v>436</v>
      </c>
      <c r="B438" s="42" t="s">
        <v>1146</v>
      </c>
      <c r="C438" s="42" t="s">
        <v>1158</v>
      </c>
      <c r="D438" s="36" t="s">
        <v>1152</v>
      </c>
      <c r="E438" s="36"/>
      <c r="F438" s="17"/>
      <c r="G438" s="17" t="s">
        <v>7</v>
      </c>
      <c r="H438" s="38"/>
      <c r="I438" s="38"/>
      <c r="J438" s="38" t="s">
        <v>1149</v>
      </c>
      <c r="K438" s="38" t="s">
        <v>1161</v>
      </c>
      <c r="L438" s="38" t="s">
        <v>1162</v>
      </c>
      <c r="M438" s="38" t="s">
        <v>41</v>
      </c>
      <c r="N438" s="17" t="s">
        <v>43</v>
      </c>
      <c r="O438" s="39"/>
      <c r="P438" s="40" t="str">
        <f t="shared" si="6"/>
        <v>〇</v>
      </c>
      <c r="Q438" s="33" t="s">
        <v>45</v>
      </c>
      <c r="S438" s="33"/>
      <c r="T438" s="33"/>
    </row>
    <row r="439" hidden="1">
      <c r="A439" s="17">
        <f t="shared" si="2"/>
        <v>437</v>
      </c>
      <c r="B439" s="42" t="s">
        <v>1146</v>
      </c>
      <c r="C439" s="36" t="s">
        <v>405</v>
      </c>
      <c r="D439" s="36"/>
      <c r="E439" s="36"/>
      <c r="F439" s="17"/>
      <c r="G439" s="17" t="s">
        <v>7</v>
      </c>
      <c r="H439" s="38"/>
      <c r="I439" s="38"/>
      <c r="J439" s="38" t="s">
        <v>1149</v>
      </c>
      <c r="K439" s="38" t="s">
        <v>1163</v>
      </c>
      <c r="L439" s="38" t="s">
        <v>1164</v>
      </c>
      <c r="M439" s="38" t="s">
        <v>41</v>
      </c>
      <c r="N439" s="17" t="s">
        <v>43</v>
      </c>
      <c r="O439" s="39"/>
      <c r="P439" s="40" t="str">
        <f t="shared" si="6"/>
        <v>〇</v>
      </c>
      <c r="Q439" s="33" t="s">
        <v>45</v>
      </c>
      <c r="S439" s="33"/>
      <c r="T439" s="33"/>
    </row>
    <row r="440" hidden="1">
      <c r="A440" s="17">
        <f t="shared" si="2"/>
        <v>438</v>
      </c>
      <c r="B440" s="42" t="s">
        <v>1146</v>
      </c>
      <c r="C440" s="34" t="s">
        <v>1165</v>
      </c>
      <c r="D440" s="36"/>
      <c r="E440" s="36"/>
      <c r="F440" s="17"/>
      <c r="G440" s="17" t="s">
        <v>2</v>
      </c>
      <c r="H440" s="38"/>
      <c r="I440" s="38"/>
      <c r="J440" s="38" t="s">
        <v>1166</v>
      </c>
      <c r="K440" s="38" t="s">
        <v>1167</v>
      </c>
      <c r="L440" s="38" t="s">
        <v>1168</v>
      </c>
      <c r="M440" s="38" t="s">
        <v>41</v>
      </c>
      <c r="N440" s="17" t="s">
        <v>43</v>
      </c>
      <c r="O440" s="39"/>
      <c r="P440" s="40" t="str">
        <f t="shared" si="6"/>
        <v>〇</v>
      </c>
      <c r="Q440" s="33" t="s">
        <v>45</v>
      </c>
      <c r="S440" s="33"/>
      <c r="T440" s="33"/>
    </row>
    <row r="441" hidden="1">
      <c r="A441" s="17">
        <f t="shared" si="2"/>
        <v>439</v>
      </c>
      <c r="B441" s="34" t="s">
        <v>1169</v>
      </c>
      <c r="C441" s="34"/>
      <c r="D441" s="36"/>
      <c r="E441" s="36"/>
      <c r="F441" s="17"/>
      <c r="G441" s="17" t="s">
        <v>7</v>
      </c>
      <c r="H441" s="38"/>
      <c r="I441" s="38" t="s">
        <v>1170</v>
      </c>
      <c r="J441" s="38" t="s">
        <v>1171</v>
      </c>
      <c r="K441" s="38" t="s">
        <v>1172</v>
      </c>
      <c r="L441" s="38" t="s">
        <v>1173</v>
      </c>
      <c r="M441" s="38" t="s">
        <v>41</v>
      </c>
      <c r="N441" s="17" t="s">
        <v>43</v>
      </c>
      <c r="O441" s="39"/>
      <c r="P441" s="40" t="str">
        <f t="shared" si="6"/>
        <v>〇</v>
      </c>
      <c r="Q441" s="33" t="s">
        <v>45</v>
      </c>
      <c r="S441" s="33"/>
      <c r="T441" s="33"/>
    </row>
    <row r="442" hidden="1">
      <c r="A442" s="17">
        <f t="shared" si="2"/>
        <v>440</v>
      </c>
      <c r="B442" s="34" t="s">
        <v>1174</v>
      </c>
      <c r="C442" s="34"/>
      <c r="D442" s="36"/>
      <c r="E442" s="36"/>
      <c r="F442" s="17"/>
      <c r="G442" s="17" t="s">
        <v>2</v>
      </c>
      <c r="H442" s="38"/>
      <c r="I442" s="38" t="s">
        <v>1175</v>
      </c>
      <c r="J442" s="38" t="s">
        <v>1176</v>
      </c>
      <c r="K442" s="38" t="s">
        <v>1177</v>
      </c>
      <c r="L442" s="38" t="s">
        <v>1178</v>
      </c>
      <c r="M442" s="38" t="s">
        <v>41</v>
      </c>
      <c r="N442" s="17" t="s">
        <v>43</v>
      </c>
      <c r="O442" s="39"/>
      <c r="P442" s="40" t="str">
        <f t="shared" si="6"/>
        <v>〇</v>
      </c>
      <c r="Q442" s="33" t="s">
        <v>45</v>
      </c>
      <c r="S442" s="33"/>
      <c r="T442" s="33"/>
    </row>
    <row r="443" hidden="1">
      <c r="A443" s="17">
        <f t="shared" si="2"/>
        <v>441</v>
      </c>
      <c r="B443" s="34" t="s">
        <v>1179</v>
      </c>
      <c r="C443" s="34" t="s">
        <v>80</v>
      </c>
      <c r="D443" s="36" t="s">
        <v>1074</v>
      </c>
      <c r="E443" s="36"/>
      <c r="F443" s="17"/>
      <c r="G443" s="17" t="s">
        <v>7</v>
      </c>
      <c r="H443" s="38"/>
      <c r="I443" s="38"/>
      <c r="J443" s="38" t="s">
        <v>1180</v>
      </c>
      <c r="K443" s="38" t="s">
        <v>1181</v>
      </c>
      <c r="L443" s="38" t="s">
        <v>1182</v>
      </c>
      <c r="M443" s="38" t="s">
        <v>41</v>
      </c>
      <c r="N443" s="17" t="s">
        <v>43</v>
      </c>
      <c r="O443" s="39"/>
      <c r="P443" s="40" t="str">
        <f t="shared" si="6"/>
        <v>〇</v>
      </c>
      <c r="Q443" s="33" t="s">
        <v>45</v>
      </c>
      <c r="S443" s="33"/>
      <c r="T443" s="33"/>
    </row>
    <row r="444" hidden="1">
      <c r="A444" s="17">
        <f t="shared" si="2"/>
        <v>442</v>
      </c>
      <c r="B444" s="42" t="s">
        <v>1179</v>
      </c>
      <c r="C444" s="42" t="s">
        <v>80</v>
      </c>
      <c r="D444" s="36" t="s">
        <v>1078</v>
      </c>
      <c r="E444" s="36"/>
      <c r="F444" s="17"/>
      <c r="G444" s="17" t="s">
        <v>7</v>
      </c>
      <c r="H444" s="38"/>
      <c r="I444" s="38"/>
      <c r="J444" s="38" t="s">
        <v>1180</v>
      </c>
      <c r="K444" s="38" t="s">
        <v>1183</v>
      </c>
      <c r="L444" s="38" t="s">
        <v>1184</v>
      </c>
      <c r="M444" s="38" t="s">
        <v>41</v>
      </c>
      <c r="N444" s="17" t="s">
        <v>43</v>
      </c>
      <c r="O444" s="39"/>
      <c r="P444" s="40" t="str">
        <f t="shared" si="6"/>
        <v>〇</v>
      </c>
      <c r="Q444" s="33" t="s">
        <v>45</v>
      </c>
      <c r="S444" s="33"/>
      <c r="T444" s="33"/>
    </row>
    <row r="445" hidden="1">
      <c r="A445" s="17">
        <f t="shared" si="2"/>
        <v>443</v>
      </c>
      <c r="B445" s="42" t="s">
        <v>1179</v>
      </c>
      <c r="C445" s="42" t="s">
        <v>80</v>
      </c>
      <c r="D445" s="36" t="s">
        <v>1081</v>
      </c>
      <c r="E445" s="36"/>
      <c r="F445" s="17"/>
      <c r="G445" s="17" t="s">
        <v>7</v>
      </c>
      <c r="H445" s="38"/>
      <c r="I445" s="38" t="s">
        <v>1185</v>
      </c>
      <c r="J445" s="38" t="s">
        <v>1180</v>
      </c>
      <c r="K445" s="38" t="s">
        <v>1186</v>
      </c>
      <c r="L445" s="38" t="s">
        <v>1187</v>
      </c>
      <c r="M445" s="38" t="s">
        <v>41</v>
      </c>
      <c r="N445" s="17" t="s">
        <v>43</v>
      </c>
      <c r="O445" s="39"/>
      <c r="P445" s="40" t="str">
        <f t="shared" si="6"/>
        <v>〇</v>
      </c>
      <c r="Q445" s="33" t="s">
        <v>45</v>
      </c>
      <c r="S445" s="33"/>
      <c r="T445" s="33"/>
    </row>
    <row r="446" hidden="1">
      <c r="A446" s="17">
        <f t="shared" si="2"/>
        <v>444</v>
      </c>
      <c r="B446" s="42" t="s">
        <v>1179</v>
      </c>
      <c r="C446" s="42" t="s">
        <v>80</v>
      </c>
      <c r="D446" s="36" t="s">
        <v>1087</v>
      </c>
      <c r="E446" s="36"/>
      <c r="F446" s="17"/>
      <c r="G446" s="17" t="s">
        <v>7</v>
      </c>
      <c r="H446" s="38"/>
      <c r="I446" s="38"/>
      <c r="J446" s="38" t="s">
        <v>1180</v>
      </c>
      <c r="K446" s="38" t="s">
        <v>1188</v>
      </c>
      <c r="L446" s="38" t="s">
        <v>1189</v>
      </c>
      <c r="M446" s="38" t="s">
        <v>41</v>
      </c>
      <c r="N446" s="17" t="s">
        <v>43</v>
      </c>
      <c r="O446" s="39"/>
      <c r="P446" s="40" t="str">
        <f t="shared" si="6"/>
        <v>〇</v>
      </c>
      <c r="Q446" s="33" t="s">
        <v>45</v>
      </c>
      <c r="S446" s="33"/>
      <c r="T446" s="33"/>
    </row>
    <row r="447" hidden="1">
      <c r="A447" s="17">
        <f t="shared" si="2"/>
        <v>445</v>
      </c>
      <c r="B447" s="42" t="s">
        <v>1179</v>
      </c>
      <c r="C447" s="34" t="s">
        <v>1090</v>
      </c>
      <c r="D447" s="36" t="s">
        <v>1091</v>
      </c>
      <c r="E447" s="36"/>
      <c r="F447" s="17"/>
      <c r="G447" s="17" t="s">
        <v>7</v>
      </c>
      <c r="H447" s="38"/>
      <c r="I447" s="38"/>
      <c r="J447" s="38" t="s">
        <v>1180</v>
      </c>
      <c r="K447" s="38" t="s">
        <v>1190</v>
      </c>
      <c r="L447" s="38" t="s">
        <v>1191</v>
      </c>
      <c r="M447" s="38" t="s">
        <v>41</v>
      </c>
      <c r="N447" s="17" t="s">
        <v>43</v>
      </c>
      <c r="O447" s="39"/>
      <c r="P447" s="40" t="str">
        <f t="shared" si="6"/>
        <v>〇</v>
      </c>
      <c r="Q447" s="33" t="s">
        <v>45</v>
      </c>
      <c r="S447" s="33"/>
      <c r="T447" s="33"/>
    </row>
    <row r="448" hidden="1">
      <c r="A448" s="17">
        <f t="shared" si="2"/>
        <v>446</v>
      </c>
      <c r="B448" s="42" t="s">
        <v>1179</v>
      </c>
      <c r="C448" s="42" t="s">
        <v>1090</v>
      </c>
      <c r="D448" s="36" t="s">
        <v>1087</v>
      </c>
      <c r="E448" s="36"/>
      <c r="F448" s="17"/>
      <c r="G448" s="17" t="s">
        <v>7</v>
      </c>
      <c r="H448" s="38"/>
      <c r="I448" s="38"/>
      <c r="J448" s="38" t="s">
        <v>1180</v>
      </c>
      <c r="K448" s="38" t="s">
        <v>1098</v>
      </c>
      <c r="L448" s="38" t="s">
        <v>1099</v>
      </c>
      <c r="M448" s="38" t="s">
        <v>41</v>
      </c>
      <c r="N448" s="17" t="s">
        <v>43</v>
      </c>
      <c r="O448" s="39"/>
      <c r="P448" s="40" t="str">
        <f t="shared" si="6"/>
        <v>〇</v>
      </c>
      <c r="Q448" s="33" t="s">
        <v>45</v>
      </c>
      <c r="S448" s="33"/>
      <c r="T448" s="33"/>
    </row>
    <row r="449">
      <c r="A449" s="17">
        <f t="shared" si="2"/>
        <v>447</v>
      </c>
      <c r="B449" s="42" t="s">
        <v>1179</v>
      </c>
      <c r="C449" s="60" t="s">
        <v>377</v>
      </c>
      <c r="D449" s="61" t="s">
        <v>1091</v>
      </c>
      <c r="E449" s="61"/>
      <c r="F449" s="17"/>
      <c r="G449" s="17" t="s">
        <v>9</v>
      </c>
      <c r="H449" s="38"/>
      <c r="I449" s="38"/>
      <c r="J449" s="38" t="s">
        <v>1180</v>
      </c>
      <c r="K449" s="38" t="s">
        <v>1192</v>
      </c>
      <c r="L449" s="38" t="s">
        <v>1193</v>
      </c>
      <c r="M449" s="38"/>
      <c r="N449" s="44" t="s">
        <v>23</v>
      </c>
      <c r="O449" s="11" t="s">
        <v>1110</v>
      </c>
    </row>
    <row r="450">
      <c r="A450" s="17">
        <f t="shared" si="2"/>
        <v>448</v>
      </c>
      <c r="B450" s="42" t="s">
        <v>1179</v>
      </c>
      <c r="C450" s="63" t="s">
        <v>377</v>
      </c>
      <c r="D450" s="61" t="s">
        <v>1087</v>
      </c>
      <c r="E450" s="61"/>
      <c r="F450" s="17"/>
      <c r="G450" s="17" t="s">
        <v>9</v>
      </c>
      <c r="H450" s="38"/>
      <c r="I450" s="38"/>
      <c r="J450" s="38" t="s">
        <v>1180</v>
      </c>
      <c r="K450" s="38" t="s">
        <v>1113</v>
      </c>
      <c r="L450" s="38" t="s">
        <v>1114</v>
      </c>
      <c r="M450" s="38"/>
      <c r="N450" s="44" t="s">
        <v>23</v>
      </c>
      <c r="O450" s="11" t="s">
        <v>1110</v>
      </c>
    </row>
    <row r="451">
      <c r="A451" s="17">
        <f t="shared" si="2"/>
        <v>449</v>
      </c>
      <c r="B451" s="42" t="s">
        <v>1179</v>
      </c>
      <c r="C451" s="60" t="s">
        <v>1024</v>
      </c>
      <c r="D451" s="61" t="s">
        <v>1091</v>
      </c>
      <c r="E451" s="61"/>
      <c r="F451" s="17"/>
      <c r="G451" s="17" t="s">
        <v>9</v>
      </c>
      <c r="H451" s="38"/>
      <c r="I451" s="38"/>
      <c r="J451" s="38" t="s">
        <v>1180</v>
      </c>
      <c r="K451" s="38" t="s">
        <v>1194</v>
      </c>
      <c r="L451" s="38" t="s">
        <v>1195</v>
      </c>
      <c r="M451" s="38"/>
      <c r="N451" s="44" t="s">
        <v>23</v>
      </c>
      <c r="O451" s="11" t="s">
        <v>1110</v>
      </c>
    </row>
    <row r="452">
      <c r="A452" s="17">
        <f t="shared" si="2"/>
        <v>450</v>
      </c>
      <c r="B452" s="42" t="s">
        <v>1179</v>
      </c>
      <c r="C452" s="63" t="s">
        <v>1024</v>
      </c>
      <c r="D452" s="61" t="s">
        <v>1087</v>
      </c>
      <c r="E452" s="61"/>
      <c r="F452" s="17"/>
      <c r="G452" s="17" t="s">
        <v>9</v>
      </c>
      <c r="H452" s="38"/>
      <c r="I452" s="38"/>
      <c r="J452" s="38" t="s">
        <v>1180</v>
      </c>
      <c r="K452" s="38" t="s">
        <v>1119</v>
      </c>
      <c r="L452" s="38" t="s">
        <v>1120</v>
      </c>
      <c r="M452" s="38"/>
      <c r="N452" s="44" t="s">
        <v>23</v>
      </c>
      <c r="O452" s="11" t="s">
        <v>1110</v>
      </c>
    </row>
    <row r="453" hidden="1">
      <c r="A453" s="17">
        <f t="shared" si="2"/>
        <v>451</v>
      </c>
      <c r="B453" s="42" t="s">
        <v>1179</v>
      </c>
      <c r="C453" s="36" t="s">
        <v>1125</v>
      </c>
      <c r="D453" s="36" t="s">
        <v>32</v>
      </c>
      <c r="E453" s="36"/>
      <c r="F453" s="17"/>
      <c r="G453" s="17" t="s">
        <v>2</v>
      </c>
      <c r="H453" s="38"/>
      <c r="I453" s="38"/>
      <c r="J453" s="38" t="s">
        <v>1180</v>
      </c>
      <c r="K453" s="38" t="s">
        <v>1126</v>
      </c>
      <c r="L453" s="38" t="s">
        <v>1127</v>
      </c>
      <c r="M453" s="38" t="s">
        <v>41</v>
      </c>
      <c r="N453" s="17" t="s">
        <v>43</v>
      </c>
      <c r="O453" s="39" t="s">
        <v>1128</v>
      </c>
      <c r="P453" s="40" t="str">
        <f t="shared" ref="P453:P528" si="7">IF(ISNUMBER(SEARCH("Auto",M453)),"〇","×")</f>
        <v>〇</v>
      </c>
      <c r="Q453" s="33" t="s">
        <v>59</v>
      </c>
      <c r="S453" s="33" t="s">
        <v>45</v>
      </c>
      <c r="T453" s="33"/>
    </row>
    <row r="454" hidden="1">
      <c r="A454" s="17">
        <f t="shared" si="2"/>
        <v>452</v>
      </c>
      <c r="B454" s="42" t="s">
        <v>1179</v>
      </c>
      <c r="C454" s="63" t="s">
        <v>1125</v>
      </c>
      <c r="D454" s="36" t="s">
        <v>405</v>
      </c>
      <c r="E454" s="36"/>
      <c r="F454" s="17"/>
      <c r="G454" s="17" t="s">
        <v>2</v>
      </c>
      <c r="H454" s="38"/>
      <c r="I454" s="38" t="s">
        <v>1129</v>
      </c>
      <c r="J454" s="38" t="s">
        <v>1180</v>
      </c>
      <c r="K454" s="38" t="s">
        <v>1130</v>
      </c>
      <c r="L454" s="38" t="s">
        <v>1131</v>
      </c>
      <c r="M454" s="38" t="s">
        <v>41</v>
      </c>
      <c r="N454" s="17" t="s">
        <v>43</v>
      </c>
      <c r="O454" s="39" t="s">
        <v>1128</v>
      </c>
      <c r="P454" s="40" t="str">
        <f t="shared" si="7"/>
        <v>〇</v>
      </c>
      <c r="Q454" s="33" t="s">
        <v>59</v>
      </c>
      <c r="S454" s="33" t="s">
        <v>45</v>
      </c>
      <c r="T454" s="33"/>
    </row>
    <row r="455" hidden="1">
      <c r="A455" s="17">
        <f t="shared" si="2"/>
        <v>453</v>
      </c>
      <c r="B455" s="42" t="s">
        <v>1179</v>
      </c>
      <c r="C455" s="36" t="s">
        <v>1100</v>
      </c>
      <c r="D455" s="36"/>
      <c r="E455" s="36"/>
      <c r="F455" s="17"/>
      <c r="G455" s="17" t="s">
        <v>7</v>
      </c>
      <c r="H455" s="38"/>
      <c r="I455" s="38"/>
      <c r="J455" s="38" t="s">
        <v>1180</v>
      </c>
      <c r="K455" s="38" t="s">
        <v>1101</v>
      </c>
      <c r="L455" s="38" t="s">
        <v>1102</v>
      </c>
      <c r="M455" s="38" t="s">
        <v>41</v>
      </c>
      <c r="N455" s="17" t="s">
        <v>43</v>
      </c>
      <c r="O455" s="39"/>
      <c r="P455" s="40" t="str">
        <f t="shared" si="7"/>
        <v>〇</v>
      </c>
      <c r="Q455" s="33" t="s">
        <v>45</v>
      </c>
      <c r="S455" s="33"/>
      <c r="T455" s="33"/>
    </row>
    <row r="456" hidden="1">
      <c r="A456" s="17">
        <f t="shared" si="2"/>
        <v>454</v>
      </c>
      <c r="B456" s="42" t="s">
        <v>1179</v>
      </c>
      <c r="C456" s="36" t="s">
        <v>1103</v>
      </c>
      <c r="D456" s="36"/>
      <c r="E456" s="36"/>
      <c r="F456" s="17"/>
      <c r="G456" s="17" t="s">
        <v>7</v>
      </c>
      <c r="H456" s="38"/>
      <c r="I456" s="38"/>
      <c r="J456" s="38" t="s">
        <v>1180</v>
      </c>
      <c r="K456" s="38" t="s">
        <v>1104</v>
      </c>
      <c r="L456" s="38" t="s">
        <v>1105</v>
      </c>
      <c r="M456" s="38" t="s">
        <v>41</v>
      </c>
      <c r="N456" s="17" t="s">
        <v>43</v>
      </c>
      <c r="O456" s="39"/>
      <c r="P456" s="40" t="str">
        <f t="shared" si="7"/>
        <v>〇</v>
      </c>
      <c r="Q456" s="33" t="s">
        <v>45</v>
      </c>
      <c r="S456" s="33"/>
      <c r="T456" s="33"/>
    </row>
    <row r="457" hidden="1">
      <c r="A457" s="17">
        <f t="shared" si="2"/>
        <v>455</v>
      </c>
      <c r="B457" s="38" t="s">
        <v>1196</v>
      </c>
      <c r="C457" s="36" t="s">
        <v>1100</v>
      </c>
      <c r="D457" s="36"/>
      <c r="E457" s="36"/>
      <c r="F457" s="17"/>
      <c r="G457" s="17" t="s">
        <v>7</v>
      </c>
      <c r="H457" s="38"/>
      <c r="I457" s="38"/>
      <c r="J457" s="38" t="s">
        <v>1197</v>
      </c>
      <c r="K457" s="38" t="s">
        <v>1198</v>
      </c>
      <c r="L457" s="38" t="s">
        <v>1199</v>
      </c>
      <c r="M457" s="38" t="s">
        <v>41</v>
      </c>
      <c r="N457" s="17" t="s">
        <v>43</v>
      </c>
      <c r="O457" s="39"/>
      <c r="P457" s="40" t="str">
        <f t="shared" si="7"/>
        <v>〇</v>
      </c>
      <c r="Q457" s="33" t="s">
        <v>45</v>
      </c>
      <c r="S457" s="33"/>
      <c r="T457" s="33"/>
    </row>
    <row r="458" hidden="1">
      <c r="A458" s="17">
        <f t="shared" si="2"/>
        <v>456</v>
      </c>
      <c r="B458" s="34" t="s">
        <v>1200</v>
      </c>
      <c r="C458" s="36" t="s">
        <v>32</v>
      </c>
      <c r="D458" s="36"/>
      <c r="E458" s="36"/>
      <c r="F458" s="17"/>
      <c r="G458" s="17" t="s">
        <v>2</v>
      </c>
      <c r="H458" s="38"/>
      <c r="I458" s="38"/>
      <c r="J458" s="38" t="s">
        <v>1201</v>
      </c>
      <c r="K458" s="38" t="s">
        <v>1202</v>
      </c>
      <c r="L458" s="38" t="s">
        <v>1203</v>
      </c>
      <c r="M458" s="38" t="s">
        <v>41</v>
      </c>
      <c r="N458" s="17" t="s">
        <v>43</v>
      </c>
      <c r="O458" s="39"/>
      <c r="P458" s="40" t="str">
        <f t="shared" si="7"/>
        <v>〇</v>
      </c>
      <c r="Q458" s="33" t="s">
        <v>45</v>
      </c>
      <c r="S458" s="33"/>
      <c r="T458" s="33"/>
    </row>
    <row r="459" hidden="1">
      <c r="A459" s="17">
        <f t="shared" si="2"/>
        <v>457</v>
      </c>
      <c r="B459" s="42" t="s">
        <v>1200</v>
      </c>
      <c r="C459" s="36" t="s">
        <v>504</v>
      </c>
      <c r="D459" s="36"/>
      <c r="E459" s="36"/>
      <c r="F459" s="17"/>
      <c r="G459" s="17" t="s">
        <v>2</v>
      </c>
      <c r="H459" s="38"/>
      <c r="I459" s="38"/>
      <c r="J459" s="38" t="s">
        <v>66</v>
      </c>
      <c r="K459" s="38" t="s">
        <v>1204</v>
      </c>
      <c r="L459" s="38" t="s">
        <v>1205</v>
      </c>
      <c r="M459" s="38" t="s">
        <v>41</v>
      </c>
      <c r="N459" s="17" t="s">
        <v>43</v>
      </c>
      <c r="O459" s="39"/>
      <c r="P459" s="40" t="str">
        <f t="shared" si="7"/>
        <v>〇</v>
      </c>
      <c r="Q459" s="33" t="s">
        <v>45</v>
      </c>
      <c r="S459" s="33"/>
      <c r="T459" s="33"/>
    </row>
    <row r="460" hidden="1">
      <c r="A460" s="17">
        <f t="shared" si="2"/>
        <v>458</v>
      </c>
      <c r="B460" s="42" t="s">
        <v>1200</v>
      </c>
      <c r="C460" s="36" t="s">
        <v>714</v>
      </c>
      <c r="D460" s="36"/>
      <c r="E460" s="36"/>
      <c r="F460" s="17"/>
      <c r="G460" s="17" t="s">
        <v>2</v>
      </c>
      <c r="H460" s="38"/>
      <c r="I460" s="38"/>
      <c r="J460" s="38" t="s">
        <v>66</v>
      </c>
      <c r="K460" s="38" t="s">
        <v>1206</v>
      </c>
      <c r="L460" s="38" t="s">
        <v>1207</v>
      </c>
      <c r="M460" s="38" t="s">
        <v>41</v>
      </c>
      <c r="N460" s="17" t="s">
        <v>43</v>
      </c>
      <c r="O460" s="39"/>
      <c r="P460" s="40" t="str">
        <f t="shared" si="7"/>
        <v>〇</v>
      </c>
      <c r="Q460" s="33" t="s">
        <v>45</v>
      </c>
      <c r="S460" s="33"/>
      <c r="T460" s="33"/>
    </row>
    <row r="461" hidden="1">
      <c r="A461" s="17">
        <f t="shared" si="2"/>
        <v>459</v>
      </c>
      <c r="B461" s="34" t="s">
        <v>1208</v>
      </c>
      <c r="C461" s="36" t="s">
        <v>1209</v>
      </c>
      <c r="D461" s="36" t="s">
        <v>758</v>
      </c>
      <c r="E461" s="36" t="s">
        <v>504</v>
      </c>
      <c r="F461" s="17"/>
      <c r="G461" s="17" t="s">
        <v>2</v>
      </c>
      <c r="H461" s="38"/>
      <c r="I461" s="38"/>
      <c r="J461" s="38" t="s">
        <v>1210</v>
      </c>
      <c r="K461" s="38" t="s">
        <v>1211</v>
      </c>
      <c r="L461" s="38" t="s">
        <v>1212</v>
      </c>
      <c r="M461" s="38" t="s">
        <v>41</v>
      </c>
      <c r="N461" s="17" t="s">
        <v>43</v>
      </c>
      <c r="O461" s="39"/>
      <c r="P461" s="40" t="str">
        <f t="shared" si="7"/>
        <v>〇</v>
      </c>
      <c r="Q461" s="33" t="s">
        <v>45</v>
      </c>
      <c r="S461" s="33"/>
      <c r="T461" s="33"/>
      <c r="U461" s="11"/>
    </row>
    <row r="462" hidden="1">
      <c r="A462" s="17">
        <f t="shared" si="2"/>
        <v>460</v>
      </c>
      <c r="B462" s="42" t="s">
        <v>1213</v>
      </c>
      <c r="C462" s="45" t="s">
        <v>1209</v>
      </c>
      <c r="D462" s="45" t="s">
        <v>758</v>
      </c>
      <c r="E462" s="36" t="s">
        <v>1214</v>
      </c>
      <c r="F462" s="17"/>
      <c r="G462" s="17" t="s">
        <v>2</v>
      </c>
      <c r="H462" s="38"/>
      <c r="I462" s="38"/>
      <c r="J462" s="38" t="s">
        <v>1210</v>
      </c>
      <c r="K462" s="38" t="s">
        <v>1215</v>
      </c>
      <c r="L462" s="38" t="s">
        <v>1216</v>
      </c>
      <c r="M462" s="38" t="s">
        <v>41</v>
      </c>
      <c r="N462" s="17" t="s">
        <v>43</v>
      </c>
      <c r="O462" s="39"/>
      <c r="P462" s="40" t="str">
        <f t="shared" si="7"/>
        <v>〇</v>
      </c>
      <c r="Q462" s="33" t="s">
        <v>45</v>
      </c>
      <c r="S462" s="33"/>
      <c r="T462" s="33"/>
      <c r="U462" s="11"/>
    </row>
    <row r="463" hidden="1">
      <c r="A463" s="17">
        <f t="shared" si="2"/>
        <v>461</v>
      </c>
      <c r="B463" s="42" t="s">
        <v>1213</v>
      </c>
      <c r="C463" s="45" t="s">
        <v>1209</v>
      </c>
      <c r="D463" s="45" t="s">
        <v>758</v>
      </c>
      <c r="E463" s="36" t="s">
        <v>405</v>
      </c>
      <c r="F463" s="17"/>
      <c r="G463" s="17" t="s">
        <v>2</v>
      </c>
      <c r="H463" s="38"/>
      <c r="I463" s="38"/>
      <c r="J463" s="38" t="s">
        <v>1210</v>
      </c>
      <c r="K463" s="38" t="s">
        <v>1217</v>
      </c>
      <c r="L463" s="38" t="s">
        <v>1218</v>
      </c>
      <c r="M463" s="38" t="s">
        <v>41</v>
      </c>
      <c r="N463" s="17" t="s">
        <v>43</v>
      </c>
      <c r="O463" s="39"/>
      <c r="P463" s="40" t="str">
        <f t="shared" si="7"/>
        <v>〇</v>
      </c>
      <c r="Q463" s="33" t="s">
        <v>45</v>
      </c>
      <c r="S463" s="33"/>
      <c r="T463" s="33"/>
      <c r="U463" s="11"/>
    </row>
    <row r="464" hidden="1">
      <c r="A464" s="17">
        <f t="shared" si="2"/>
        <v>462</v>
      </c>
      <c r="B464" s="42" t="s">
        <v>1213</v>
      </c>
      <c r="C464" s="45" t="s">
        <v>1209</v>
      </c>
      <c r="D464" s="36" t="s">
        <v>1219</v>
      </c>
      <c r="E464" s="36" t="s">
        <v>1214</v>
      </c>
      <c r="F464" s="17"/>
      <c r="G464" s="17" t="s">
        <v>7</v>
      </c>
      <c r="H464" s="38"/>
      <c r="I464" s="38"/>
      <c r="J464" s="38" t="s">
        <v>1210</v>
      </c>
      <c r="K464" s="38" t="s">
        <v>1220</v>
      </c>
      <c r="L464" s="38" t="s">
        <v>1221</v>
      </c>
      <c r="M464" s="38" t="s">
        <v>41</v>
      </c>
      <c r="N464" s="17" t="s">
        <v>43</v>
      </c>
      <c r="O464" s="39"/>
      <c r="P464" s="40" t="str">
        <f t="shared" si="7"/>
        <v>〇</v>
      </c>
      <c r="Q464" s="33" t="s">
        <v>45</v>
      </c>
      <c r="S464" s="33"/>
      <c r="T464" s="33"/>
      <c r="U464" s="11"/>
    </row>
    <row r="465" hidden="1">
      <c r="A465" s="17">
        <f t="shared" si="2"/>
        <v>463</v>
      </c>
      <c r="B465" s="42" t="s">
        <v>1213</v>
      </c>
      <c r="C465" s="45" t="s">
        <v>1209</v>
      </c>
      <c r="D465" s="45" t="s">
        <v>1219</v>
      </c>
      <c r="E465" s="36" t="s">
        <v>504</v>
      </c>
      <c r="F465" s="17"/>
      <c r="G465" s="17" t="s">
        <v>7</v>
      </c>
      <c r="H465" s="38"/>
      <c r="I465" s="38"/>
      <c r="J465" s="38" t="s">
        <v>1210</v>
      </c>
      <c r="K465" s="38" t="s">
        <v>1222</v>
      </c>
      <c r="L465" s="38" t="s">
        <v>1223</v>
      </c>
      <c r="M465" s="38" t="s">
        <v>41</v>
      </c>
      <c r="N465" s="17" t="s">
        <v>43</v>
      </c>
      <c r="O465" s="39"/>
      <c r="P465" s="40" t="str">
        <f t="shared" si="7"/>
        <v>〇</v>
      </c>
      <c r="Q465" s="33" t="s">
        <v>45</v>
      </c>
      <c r="S465" s="33"/>
      <c r="T465" s="33"/>
      <c r="U465" s="11"/>
    </row>
    <row r="466" hidden="1">
      <c r="A466" s="17">
        <f t="shared" si="2"/>
        <v>464</v>
      </c>
      <c r="B466" s="42" t="s">
        <v>1213</v>
      </c>
      <c r="C466" s="45" t="s">
        <v>1209</v>
      </c>
      <c r="D466" s="45" t="s">
        <v>1219</v>
      </c>
      <c r="E466" s="36" t="s">
        <v>405</v>
      </c>
      <c r="F466" s="17"/>
      <c r="G466" s="17" t="s">
        <v>7</v>
      </c>
      <c r="H466" s="38"/>
      <c r="I466" s="38"/>
      <c r="J466" s="38" t="s">
        <v>1210</v>
      </c>
      <c r="K466" s="38" t="s">
        <v>1224</v>
      </c>
      <c r="L466" s="38" t="s">
        <v>1225</v>
      </c>
      <c r="M466" s="38" t="s">
        <v>41</v>
      </c>
      <c r="N466" s="17" t="s">
        <v>43</v>
      </c>
      <c r="O466" s="39"/>
      <c r="P466" s="40" t="str">
        <f t="shared" si="7"/>
        <v>〇</v>
      </c>
      <c r="Q466" s="33" t="s">
        <v>45</v>
      </c>
      <c r="S466" s="33"/>
      <c r="T466" s="33"/>
      <c r="U466" s="11"/>
    </row>
    <row r="467" hidden="1">
      <c r="A467" s="17">
        <f t="shared" si="2"/>
        <v>465</v>
      </c>
      <c r="B467" s="42" t="s">
        <v>1213</v>
      </c>
      <c r="C467" s="36" t="s">
        <v>1226</v>
      </c>
      <c r="D467" s="36" t="s">
        <v>32</v>
      </c>
      <c r="E467" s="36"/>
      <c r="F467" s="17"/>
      <c r="G467" s="17" t="s">
        <v>2</v>
      </c>
      <c r="H467" s="38"/>
      <c r="I467" s="38"/>
      <c r="J467" s="38" t="s">
        <v>1227</v>
      </c>
      <c r="K467" s="38" t="s">
        <v>1228</v>
      </c>
      <c r="L467" s="38" t="s">
        <v>1229</v>
      </c>
      <c r="M467" s="38" t="s">
        <v>41</v>
      </c>
      <c r="N467" s="17" t="s">
        <v>43</v>
      </c>
      <c r="O467" s="39"/>
      <c r="P467" s="40" t="str">
        <f t="shared" si="7"/>
        <v>〇</v>
      </c>
      <c r="Q467" s="33" t="s">
        <v>45</v>
      </c>
      <c r="S467" s="33"/>
      <c r="T467" s="33"/>
      <c r="U467" s="11"/>
    </row>
    <row r="468" hidden="1">
      <c r="A468" s="17">
        <f t="shared" si="2"/>
        <v>466</v>
      </c>
      <c r="B468" s="42" t="s">
        <v>1213</v>
      </c>
      <c r="C468" s="45" t="s">
        <v>1226</v>
      </c>
      <c r="D468" s="36" t="s">
        <v>405</v>
      </c>
      <c r="E468" s="36"/>
      <c r="F468" s="17"/>
      <c r="G468" s="17" t="s">
        <v>2</v>
      </c>
      <c r="H468" s="38"/>
      <c r="I468" s="38"/>
      <c r="J468" s="38" t="s">
        <v>1227</v>
      </c>
      <c r="K468" s="38" t="s">
        <v>1144</v>
      </c>
      <c r="L468" s="38" t="s">
        <v>1230</v>
      </c>
      <c r="M468" s="38" t="s">
        <v>41</v>
      </c>
      <c r="N468" s="17" t="s">
        <v>43</v>
      </c>
      <c r="O468" s="39"/>
      <c r="P468" s="40" t="str">
        <f t="shared" si="7"/>
        <v>〇</v>
      </c>
      <c r="Q468" s="33" t="s">
        <v>45</v>
      </c>
      <c r="S468" s="33"/>
      <c r="T468" s="33"/>
      <c r="U468" s="11"/>
    </row>
    <row r="469" hidden="1">
      <c r="A469" s="17">
        <f t="shared" si="2"/>
        <v>467</v>
      </c>
      <c r="B469" s="34" t="s">
        <v>1231</v>
      </c>
      <c r="C469" s="36" t="s">
        <v>758</v>
      </c>
      <c r="D469" s="36" t="s">
        <v>504</v>
      </c>
      <c r="E469" s="36"/>
      <c r="F469" s="17"/>
      <c r="G469" s="17" t="s">
        <v>2</v>
      </c>
      <c r="H469" s="38"/>
      <c r="I469" s="38"/>
      <c r="J469" s="38" t="s">
        <v>1232</v>
      </c>
      <c r="K469" s="38" t="s">
        <v>1211</v>
      </c>
      <c r="L469" s="38" t="s">
        <v>1212</v>
      </c>
      <c r="M469" s="38" t="s">
        <v>41</v>
      </c>
      <c r="N469" s="17" t="s">
        <v>43</v>
      </c>
      <c r="O469" s="39"/>
      <c r="P469" s="40" t="str">
        <f t="shared" si="7"/>
        <v>〇</v>
      </c>
      <c r="Q469" s="33" t="s">
        <v>45</v>
      </c>
      <c r="S469" s="33"/>
      <c r="T469" s="33"/>
    </row>
    <row r="470" hidden="1">
      <c r="A470" s="17">
        <f t="shared" si="2"/>
        <v>468</v>
      </c>
      <c r="B470" s="42" t="s">
        <v>1231</v>
      </c>
      <c r="C470" s="45" t="s">
        <v>758</v>
      </c>
      <c r="D470" s="36" t="s">
        <v>1214</v>
      </c>
      <c r="E470" s="36"/>
      <c r="F470" s="17"/>
      <c r="G470" s="17" t="s">
        <v>2</v>
      </c>
      <c r="H470" s="38"/>
      <c r="I470" s="38"/>
      <c r="J470" s="38" t="s">
        <v>1232</v>
      </c>
      <c r="K470" s="38" t="s">
        <v>1215</v>
      </c>
      <c r="L470" s="38" t="s">
        <v>1216</v>
      </c>
      <c r="M470" s="38" t="s">
        <v>41</v>
      </c>
      <c r="N470" s="17" t="s">
        <v>43</v>
      </c>
      <c r="O470" s="39"/>
      <c r="P470" s="40" t="str">
        <f t="shared" si="7"/>
        <v>〇</v>
      </c>
      <c r="Q470" s="33" t="s">
        <v>45</v>
      </c>
      <c r="S470" s="33"/>
      <c r="T470" s="33"/>
    </row>
    <row r="471" hidden="1">
      <c r="A471" s="17">
        <f t="shared" si="2"/>
        <v>469</v>
      </c>
      <c r="B471" s="42" t="s">
        <v>1231</v>
      </c>
      <c r="C471" s="45" t="s">
        <v>758</v>
      </c>
      <c r="D471" s="36" t="s">
        <v>405</v>
      </c>
      <c r="E471" s="36"/>
      <c r="F471" s="17"/>
      <c r="G471" s="17" t="s">
        <v>2</v>
      </c>
      <c r="H471" s="38"/>
      <c r="I471" s="38"/>
      <c r="J471" s="38" t="s">
        <v>1232</v>
      </c>
      <c r="K471" s="38" t="s">
        <v>1217</v>
      </c>
      <c r="L471" s="38" t="s">
        <v>1218</v>
      </c>
      <c r="M471" s="38" t="s">
        <v>41</v>
      </c>
      <c r="N471" s="17" t="s">
        <v>43</v>
      </c>
      <c r="O471" s="39"/>
      <c r="P471" s="40" t="str">
        <f t="shared" si="7"/>
        <v>〇</v>
      </c>
      <c r="Q471" s="33" t="s">
        <v>45</v>
      </c>
      <c r="S471" s="33"/>
      <c r="T471" s="33"/>
    </row>
    <row r="472" hidden="1">
      <c r="A472" s="17">
        <f t="shared" si="2"/>
        <v>470</v>
      </c>
      <c r="B472" s="42" t="s">
        <v>1231</v>
      </c>
      <c r="C472" s="36" t="s">
        <v>1219</v>
      </c>
      <c r="D472" s="36" t="s">
        <v>1214</v>
      </c>
      <c r="E472" s="36"/>
      <c r="F472" s="17"/>
      <c r="G472" s="17" t="s">
        <v>7</v>
      </c>
      <c r="H472" s="38"/>
      <c r="I472" s="38"/>
      <c r="J472" s="38" t="s">
        <v>1232</v>
      </c>
      <c r="K472" s="38" t="s">
        <v>1220</v>
      </c>
      <c r="L472" s="38" t="s">
        <v>1233</v>
      </c>
      <c r="M472" s="38" t="s">
        <v>41</v>
      </c>
      <c r="N472" s="17" t="s">
        <v>43</v>
      </c>
      <c r="O472" s="48"/>
      <c r="P472" s="40" t="str">
        <f t="shared" si="7"/>
        <v>〇</v>
      </c>
      <c r="Q472" s="33" t="s">
        <v>45</v>
      </c>
      <c r="S472" s="33"/>
      <c r="T472" s="33"/>
    </row>
    <row r="473" hidden="1">
      <c r="A473" s="17">
        <f t="shared" si="2"/>
        <v>471</v>
      </c>
      <c r="B473" s="42" t="s">
        <v>1231</v>
      </c>
      <c r="C473" s="45" t="s">
        <v>1219</v>
      </c>
      <c r="D473" s="36" t="s">
        <v>504</v>
      </c>
      <c r="E473" s="36"/>
      <c r="F473" s="17"/>
      <c r="G473" s="17" t="s">
        <v>7</v>
      </c>
      <c r="H473" s="38"/>
      <c r="I473" s="38"/>
      <c r="J473" s="38" t="s">
        <v>1232</v>
      </c>
      <c r="K473" s="38" t="s">
        <v>1222</v>
      </c>
      <c r="L473" s="38" t="s">
        <v>1234</v>
      </c>
      <c r="M473" s="38" t="s">
        <v>41</v>
      </c>
      <c r="N473" s="17" t="s">
        <v>43</v>
      </c>
      <c r="O473" s="48"/>
      <c r="P473" s="40" t="str">
        <f t="shared" si="7"/>
        <v>〇</v>
      </c>
      <c r="Q473" s="33" t="s">
        <v>45</v>
      </c>
      <c r="S473" s="33"/>
      <c r="T473" s="33"/>
    </row>
    <row r="474" hidden="1">
      <c r="A474" s="17">
        <f t="shared" si="2"/>
        <v>472</v>
      </c>
      <c r="B474" s="42" t="s">
        <v>1231</v>
      </c>
      <c r="C474" s="45" t="s">
        <v>1219</v>
      </c>
      <c r="D474" s="36" t="s">
        <v>405</v>
      </c>
      <c r="E474" s="36"/>
      <c r="F474" s="17"/>
      <c r="G474" s="17" t="s">
        <v>7</v>
      </c>
      <c r="H474" s="38"/>
      <c r="I474" s="38"/>
      <c r="J474" s="38" t="s">
        <v>1232</v>
      </c>
      <c r="K474" s="38" t="s">
        <v>1224</v>
      </c>
      <c r="L474" s="38" t="s">
        <v>1235</v>
      </c>
      <c r="M474" s="38" t="s">
        <v>41</v>
      </c>
      <c r="N474" s="17" t="s">
        <v>43</v>
      </c>
      <c r="O474" s="48"/>
      <c r="P474" s="40" t="str">
        <f t="shared" si="7"/>
        <v>〇</v>
      </c>
      <c r="Q474" s="33" t="s">
        <v>45</v>
      </c>
      <c r="S474" s="33"/>
      <c r="T474" s="33"/>
    </row>
    <row r="475" hidden="1">
      <c r="A475" s="17">
        <f t="shared" si="2"/>
        <v>473</v>
      </c>
      <c r="B475" s="34" t="s">
        <v>1236</v>
      </c>
      <c r="C475" s="36" t="s">
        <v>758</v>
      </c>
      <c r="D475" s="36" t="s">
        <v>504</v>
      </c>
      <c r="E475" s="36"/>
      <c r="F475" s="17"/>
      <c r="G475" s="17" t="s">
        <v>2</v>
      </c>
      <c r="H475" s="38"/>
      <c r="I475" s="38"/>
      <c r="J475" s="38" t="s">
        <v>1237</v>
      </c>
      <c r="K475" s="38" t="s">
        <v>1211</v>
      </c>
      <c r="L475" s="38" t="s">
        <v>1212</v>
      </c>
      <c r="M475" s="38" t="s">
        <v>41</v>
      </c>
      <c r="N475" s="17" t="s">
        <v>43</v>
      </c>
      <c r="O475" s="39"/>
      <c r="P475" s="40" t="str">
        <f t="shared" si="7"/>
        <v>〇</v>
      </c>
      <c r="Q475" s="33" t="s">
        <v>45</v>
      </c>
      <c r="S475" s="33"/>
      <c r="T475" s="33"/>
    </row>
    <row r="476" hidden="1">
      <c r="A476" s="17">
        <f t="shared" si="2"/>
        <v>474</v>
      </c>
      <c r="B476" s="42" t="s">
        <v>1236</v>
      </c>
      <c r="C476" s="45" t="s">
        <v>758</v>
      </c>
      <c r="D476" s="36" t="s">
        <v>1214</v>
      </c>
      <c r="E476" s="36"/>
      <c r="F476" s="17"/>
      <c r="G476" s="17" t="s">
        <v>2</v>
      </c>
      <c r="H476" s="38"/>
      <c r="I476" s="38"/>
      <c r="J476" s="38" t="s">
        <v>1237</v>
      </c>
      <c r="K476" s="38" t="s">
        <v>1215</v>
      </c>
      <c r="L476" s="38" t="s">
        <v>1216</v>
      </c>
      <c r="M476" s="38" t="s">
        <v>41</v>
      </c>
      <c r="N476" s="17" t="s">
        <v>43</v>
      </c>
      <c r="O476" s="39"/>
      <c r="P476" s="40" t="str">
        <f t="shared" si="7"/>
        <v>〇</v>
      </c>
      <c r="Q476" s="33" t="s">
        <v>45</v>
      </c>
      <c r="S476" s="33"/>
      <c r="T476" s="33"/>
    </row>
    <row r="477" hidden="1">
      <c r="A477" s="17">
        <f t="shared" si="2"/>
        <v>475</v>
      </c>
      <c r="B477" s="42" t="s">
        <v>1236</v>
      </c>
      <c r="C477" s="45" t="s">
        <v>758</v>
      </c>
      <c r="D477" s="36" t="s">
        <v>405</v>
      </c>
      <c r="E477" s="36"/>
      <c r="F477" s="17"/>
      <c r="G477" s="17" t="s">
        <v>2</v>
      </c>
      <c r="H477" s="38"/>
      <c r="I477" s="38"/>
      <c r="J477" s="38" t="s">
        <v>1237</v>
      </c>
      <c r="K477" s="38" t="s">
        <v>1217</v>
      </c>
      <c r="L477" s="38" t="s">
        <v>1218</v>
      </c>
      <c r="M477" s="38" t="s">
        <v>41</v>
      </c>
      <c r="N477" s="17" t="s">
        <v>43</v>
      </c>
      <c r="O477" s="39"/>
      <c r="P477" s="40" t="str">
        <f t="shared" si="7"/>
        <v>〇</v>
      </c>
      <c r="Q477" s="33" t="s">
        <v>45</v>
      </c>
      <c r="S477" s="33"/>
      <c r="T477" s="33"/>
    </row>
    <row r="478" hidden="1">
      <c r="A478" s="17">
        <f t="shared" si="2"/>
        <v>476</v>
      </c>
      <c r="B478" s="42" t="s">
        <v>1236</v>
      </c>
      <c r="C478" s="36" t="s">
        <v>1219</v>
      </c>
      <c r="D478" s="36" t="s">
        <v>1214</v>
      </c>
      <c r="E478" s="36"/>
      <c r="F478" s="17"/>
      <c r="G478" s="17" t="s">
        <v>7</v>
      </c>
      <c r="H478" s="38"/>
      <c r="I478" s="38"/>
      <c r="J478" s="38" t="s">
        <v>1237</v>
      </c>
      <c r="K478" s="38" t="s">
        <v>1220</v>
      </c>
      <c r="L478" s="38" t="s">
        <v>1238</v>
      </c>
      <c r="M478" s="38" t="s">
        <v>41</v>
      </c>
      <c r="N478" s="17" t="s">
        <v>43</v>
      </c>
      <c r="O478" s="48"/>
      <c r="P478" s="40" t="str">
        <f t="shared" si="7"/>
        <v>〇</v>
      </c>
      <c r="Q478" s="33" t="s">
        <v>45</v>
      </c>
      <c r="S478" s="33"/>
      <c r="T478" s="33"/>
    </row>
    <row r="479" hidden="1">
      <c r="A479" s="17">
        <f t="shared" si="2"/>
        <v>477</v>
      </c>
      <c r="B479" s="42" t="s">
        <v>1236</v>
      </c>
      <c r="C479" s="45" t="s">
        <v>1219</v>
      </c>
      <c r="D479" s="36" t="s">
        <v>504</v>
      </c>
      <c r="E479" s="36"/>
      <c r="F479" s="17"/>
      <c r="G479" s="17" t="s">
        <v>7</v>
      </c>
      <c r="H479" s="38"/>
      <c r="I479" s="38"/>
      <c r="J479" s="38" t="s">
        <v>1237</v>
      </c>
      <c r="K479" s="38" t="s">
        <v>1239</v>
      </c>
      <c r="L479" s="38" t="s">
        <v>1240</v>
      </c>
      <c r="M479" s="38" t="s">
        <v>41</v>
      </c>
      <c r="N479" s="17" t="s">
        <v>43</v>
      </c>
      <c r="O479" s="48"/>
      <c r="P479" s="40" t="str">
        <f t="shared" si="7"/>
        <v>〇</v>
      </c>
      <c r="Q479" s="33" t="s">
        <v>45</v>
      </c>
      <c r="S479" s="33"/>
      <c r="T479" s="33"/>
    </row>
    <row r="480" hidden="1">
      <c r="A480" s="17">
        <f t="shared" si="2"/>
        <v>478</v>
      </c>
      <c r="B480" s="42" t="s">
        <v>1236</v>
      </c>
      <c r="C480" s="45" t="s">
        <v>1219</v>
      </c>
      <c r="D480" s="36" t="s">
        <v>405</v>
      </c>
      <c r="E480" s="36"/>
      <c r="F480" s="17"/>
      <c r="G480" s="17" t="s">
        <v>7</v>
      </c>
      <c r="H480" s="38"/>
      <c r="I480" s="38"/>
      <c r="J480" s="38" t="s">
        <v>1237</v>
      </c>
      <c r="K480" s="38" t="s">
        <v>1224</v>
      </c>
      <c r="L480" s="38" t="s">
        <v>1241</v>
      </c>
      <c r="M480" s="38" t="s">
        <v>41</v>
      </c>
      <c r="N480" s="17" t="s">
        <v>43</v>
      </c>
      <c r="O480" s="48"/>
      <c r="P480" s="40" t="str">
        <f t="shared" si="7"/>
        <v>〇</v>
      </c>
      <c r="Q480" s="33" t="s">
        <v>45</v>
      </c>
      <c r="S480" s="33"/>
      <c r="T480" s="33"/>
    </row>
    <row r="481" hidden="1">
      <c r="A481" s="17">
        <f t="shared" si="2"/>
        <v>479</v>
      </c>
      <c r="B481" s="38" t="s">
        <v>1242</v>
      </c>
      <c r="C481" s="36" t="s">
        <v>1243</v>
      </c>
      <c r="D481" s="36" t="s">
        <v>1244</v>
      </c>
      <c r="E481" s="36"/>
      <c r="F481" s="17"/>
      <c r="G481" s="17" t="s">
        <v>7</v>
      </c>
      <c r="H481" s="38"/>
      <c r="I481" s="38"/>
      <c r="J481" s="38" t="s">
        <v>1245</v>
      </c>
      <c r="K481" s="38" t="s">
        <v>1246</v>
      </c>
      <c r="L481" s="38" t="s">
        <v>1247</v>
      </c>
      <c r="M481" s="38" t="s">
        <v>41</v>
      </c>
      <c r="N481" s="17" t="s">
        <v>43</v>
      </c>
      <c r="O481" s="48"/>
      <c r="P481" s="40" t="str">
        <f t="shared" si="7"/>
        <v>〇</v>
      </c>
      <c r="Q481" s="33" t="s">
        <v>45</v>
      </c>
      <c r="S481" s="33"/>
      <c r="T481" s="33"/>
    </row>
    <row r="482" hidden="1">
      <c r="A482" s="17">
        <f t="shared" si="2"/>
        <v>480</v>
      </c>
      <c r="B482" s="97" t="s">
        <v>1242</v>
      </c>
      <c r="C482" s="45" t="s">
        <v>1243</v>
      </c>
      <c r="D482" s="36" t="s">
        <v>1248</v>
      </c>
      <c r="E482" s="36"/>
      <c r="F482" s="17"/>
      <c r="G482" s="17" t="s">
        <v>7</v>
      </c>
      <c r="H482" s="38"/>
      <c r="I482" s="38"/>
      <c r="J482" s="38" t="s">
        <v>1245</v>
      </c>
      <c r="K482" s="38" t="s">
        <v>1249</v>
      </c>
      <c r="L482" s="38" t="s">
        <v>1250</v>
      </c>
      <c r="M482" s="38" t="s">
        <v>41</v>
      </c>
      <c r="N482" s="17" t="s">
        <v>43</v>
      </c>
      <c r="O482" s="48"/>
      <c r="P482" s="40" t="str">
        <f t="shared" si="7"/>
        <v>〇</v>
      </c>
      <c r="Q482" s="33" t="s">
        <v>45</v>
      </c>
      <c r="S482" s="33"/>
      <c r="T482" s="33"/>
    </row>
    <row r="483" hidden="1">
      <c r="A483" s="17">
        <f t="shared" si="2"/>
        <v>481</v>
      </c>
      <c r="B483" s="97" t="s">
        <v>1242</v>
      </c>
      <c r="C483" s="45" t="s">
        <v>1243</v>
      </c>
      <c r="D483" s="36" t="s">
        <v>1251</v>
      </c>
      <c r="E483" s="36"/>
      <c r="F483" s="17"/>
      <c r="G483" s="17" t="s">
        <v>7</v>
      </c>
      <c r="H483" s="38"/>
      <c r="I483" s="38" t="s">
        <v>1252</v>
      </c>
      <c r="J483" s="38" t="s">
        <v>1245</v>
      </c>
      <c r="K483" s="38" t="s">
        <v>1253</v>
      </c>
      <c r="L483" s="38" t="s">
        <v>1254</v>
      </c>
      <c r="M483" s="38" t="s">
        <v>41</v>
      </c>
      <c r="N483" s="17" t="s">
        <v>43</v>
      </c>
      <c r="O483" s="48"/>
      <c r="P483" s="40" t="str">
        <f t="shared" si="7"/>
        <v>〇</v>
      </c>
      <c r="Q483" s="33" t="s">
        <v>45</v>
      </c>
      <c r="S483" s="33"/>
      <c r="T483" s="33"/>
    </row>
    <row r="484" hidden="1">
      <c r="A484" s="17">
        <f t="shared" si="2"/>
        <v>482</v>
      </c>
      <c r="B484" s="38" t="s">
        <v>1255</v>
      </c>
      <c r="C484" s="36" t="s">
        <v>1256</v>
      </c>
      <c r="D484" s="36"/>
      <c r="E484" s="36"/>
      <c r="F484" s="17"/>
      <c r="G484" s="17" t="s">
        <v>7</v>
      </c>
      <c r="H484" s="38"/>
      <c r="I484" s="38"/>
      <c r="J484" s="38" t="s">
        <v>1257</v>
      </c>
      <c r="K484" s="38" t="s">
        <v>1258</v>
      </c>
      <c r="L484" s="38" t="s">
        <v>1259</v>
      </c>
      <c r="M484" s="38" t="s">
        <v>41</v>
      </c>
      <c r="N484" s="17" t="s">
        <v>43</v>
      </c>
      <c r="O484" s="48"/>
      <c r="P484" s="40" t="str">
        <f t="shared" si="7"/>
        <v>〇</v>
      </c>
      <c r="Q484" s="33" t="s">
        <v>45</v>
      </c>
      <c r="S484" s="33"/>
      <c r="T484" s="33"/>
    </row>
    <row r="485" hidden="1">
      <c r="A485" s="17">
        <f t="shared" si="2"/>
        <v>483</v>
      </c>
      <c r="B485" s="38" t="s">
        <v>1260</v>
      </c>
      <c r="C485" s="36" t="s">
        <v>1256</v>
      </c>
      <c r="D485" s="36"/>
      <c r="E485" s="36"/>
      <c r="F485" s="17"/>
      <c r="G485" s="17" t="s">
        <v>7</v>
      </c>
      <c r="H485" s="38"/>
      <c r="I485" s="38"/>
      <c r="J485" s="38" t="s">
        <v>1261</v>
      </c>
      <c r="K485" s="38" t="s">
        <v>1258</v>
      </c>
      <c r="L485" s="38" t="s">
        <v>1262</v>
      </c>
      <c r="M485" s="38" t="s">
        <v>41</v>
      </c>
      <c r="N485" s="17" t="s">
        <v>43</v>
      </c>
      <c r="O485" s="48"/>
      <c r="P485" s="40" t="str">
        <f t="shared" si="7"/>
        <v>〇</v>
      </c>
      <c r="Q485" s="33" t="s">
        <v>45</v>
      </c>
      <c r="S485" s="33"/>
      <c r="T485" s="33"/>
    </row>
    <row r="486" hidden="1">
      <c r="A486" s="17">
        <f t="shared" si="2"/>
        <v>484</v>
      </c>
      <c r="B486" s="38" t="s">
        <v>1263</v>
      </c>
      <c r="C486" s="36" t="s">
        <v>1256</v>
      </c>
      <c r="D486" s="36"/>
      <c r="E486" s="36"/>
      <c r="F486" s="17"/>
      <c r="G486" s="17" t="s">
        <v>7</v>
      </c>
      <c r="H486" s="38"/>
      <c r="I486" s="38"/>
      <c r="J486" s="38" t="s">
        <v>1264</v>
      </c>
      <c r="K486" s="38" t="s">
        <v>1258</v>
      </c>
      <c r="L486" s="38" t="s">
        <v>1265</v>
      </c>
      <c r="M486" s="38" t="s">
        <v>41</v>
      </c>
      <c r="N486" s="17" t="s">
        <v>43</v>
      </c>
      <c r="O486" s="48"/>
      <c r="P486" s="40" t="str">
        <f t="shared" si="7"/>
        <v>〇</v>
      </c>
      <c r="Q486" s="33" t="s">
        <v>45</v>
      </c>
      <c r="S486" s="33"/>
      <c r="T486" s="33"/>
    </row>
    <row r="487" hidden="1">
      <c r="A487" s="17">
        <f t="shared" si="2"/>
        <v>485</v>
      </c>
      <c r="B487" s="38" t="s">
        <v>1266</v>
      </c>
      <c r="C487" s="36" t="s">
        <v>1256</v>
      </c>
      <c r="D487" s="36"/>
      <c r="E487" s="36"/>
      <c r="F487" s="17"/>
      <c r="G487" s="17" t="s">
        <v>7</v>
      </c>
      <c r="H487" s="38"/>
      <c r="I487" s="38"/>
      <c r="J487" s="38" t="s">
        <v>1267</v>
      </c>
      <c r="K487" s="38" t="s">
        <v>1258</v>
      </c>
      <c r="L487" s="38" t="s">
        <v>1268</v>
      </c>
      <c r="M487" s="38" t="s">
        <v>41</v>
      </c>
      <c r="N487" s="17" t="s">
        <v>43</v>
      </c>
      <c r="O487" s="39"/>
      <c r="P487" s="40" t="str">
        <f t="shared" si="7"/>
        <v>〇</v>
      </c>
      <c r="Q487" s="33" t="s">
        <v>45</v>
      </c>
      <c r="S487" s="33"/>
      <c r="T487" s="33"/>
    </row>
    <row r="488" hidden="1">
      <c r="A488" s="17">
        <f t="shared" si="2"/>
        <v>486</v>
      </c>
      <c r="B488" s="38" t="s">
        <v>1269</v>
      </c>
      <c r="C488" s="36" t="s">
        <v>1256</v>
      </c>
      <c r="D488" s="36"/>
      <c r="E488" s="36"/>
      <c r="F488" s="17"/>
      <c r="G488" s="17" t="s">
        <v>7</v>
      </c>
      <c r="H488" s="38"/>
      <c r="I488" s="38"/>
      <c r="J488" s="38" t="s">
        <v>1270</v>
      </c>
      <c r="K488" s="38" t="s">
        <v>1258</v>
      </c>
      <c r="L488" s="38" t="s">
        <v>1271</v>
      </c>
      <c r="M488" s="38" t="s">
        <v>41</v>
      </c>
      <c r="N488" s="17" t="s">
        <v>43</v>
      </c>
      <c r="O488" s="39"/>
      <c r="P488" s="40" t="str">
        <f t="shared" si="7"/>
        <v>〇</v>
      </c>
      <c r="Q488" s="33" t="s">
        <v>45</v>
      </c>
      <c r="S488" s="49"/>
      <c r="T488" s="50"/>
    </row>
    <row r="489" hidden="1">
      <c r="A489" s="17">
        <f t="shared" si="2"/>
        <v>487</v>
      </c>
      <c r="B489" s="34" t="s">
        <v>1272</v>
      </c>
      <c r="C489" s="36" t="s">
        <v>1273</v>
      </c>
      <c r="D489" s="36"/>
      <c r="E489" s="36"/>
      <c r="F489" s="17"/>
      <c r="G489" s="17" t="s">
        <v>7</v>
      </c>
      <c r="H489" s="38"/>
      <c r="I489" s="46" t="s">
        <v>1274</v>
      </c>
      <c r="J489" s="38" t="s">
        <v>1275</v>
      </c>
      <c r="K489" s="98" t="s">
        <v>1276</v>
      </c>
      <c r="L489" s="98" t="s">
        <v>1277</v>
      </c>
      <c r="M489" s="38" t="s">
        <v>1278</v>
      </c>
      <c r="N489" s="44" t="s">
        <v>23</v>
      </c>
      <c r="O489" s="39" t="s">
        <v>1279</v>
      </c>
      <c r="P489" s="40" t="str">
        <f t="shared" si="7"/>
        <v>〇</v>
      </c>
      <c r="Q489" s="33" t="s">
        <v>45</v>
      </c>
      <c r="S489" s="33"/>
      <c r="T489" s="33"/>
    </row>
    <row r="490" hidden="1">
      <c r="A490" s="17">
        <f t="shared" si="2"/>
        <v>488</v>
      </c>
      <c r="B490" s="42" t="s">
        <v>1272</v>
      </c>
      <c r="C490" s="36" t="s">
        <v>1280</v>
      </c>
      <c r="D490" s="36"/>
      <c r="E490" s="36"/>
      <c r="F490" s="17"/>
      <c r="G490" s="17" t="s">
        <v>7</v>
      </c>
      <c r="H490" s="38"/>
      <c r="I490" s="46" t="s">
        <v>1274</v>
      </c>
      <c r="J490" s="38" t="s">
        <v>1275</v>
      </c>
      <c r="K490" s="38" t="s">
        <v>1281</v>
      </c>
      <c r="L490" s="98" t="s">
        <v>1282</v>
      </c>
      <c r="M490" s="38" t="s">
        <v>1278</v>
      </c>
      <c r="N490" s="44" t="s">
        <v>23</v>
      </c>
      <c r="O490" s="39" t="s">
        <v>1279</v>
      </c>
      <c r="P490" s="40" t="str">
        <f t="shared" si="7"/>
        <v>〇</v>
      </c>
      <c r="Q490" s="33" t="s">
        <v>45</v>
      </c>
      <c r="S490" s="33"/>
      <c r="T490" s="33"/>
    </row>
    <row r="491" hidden="1">
      <c r="A491" s="17">
        <f t="shared" si="2"/>
        <v>489</v>
      </c>
      <c r="B491" s="42" t="s">
        <v>1272</v>
      </c>
      <c r="C491" s="36" t="s">
        <v>1283</v>
      </c>
      <c r="D491" s="36"/>
      <c r="E491" s="36"/>
      <c r="F491" s="17"/>
      <c r="G491" s="17" t="s">
        <v>8</v>
      </c>
      <c r="H491" s="38"/>
      <c r="I491" s="38"/>
      <c r="J491" s="38" t="s">
        <v>1275</v>
      </c>
      <c r="K491" s="38" t="s">
        <v>1284</v>
      </c>
      <c r="L491" s="38" t="s">
        <v>1285</v>
      </c>
      <c r="M491" s="38" t="s">
        <v>41</v>
      </c>
      <c r="N491" s="17" t="s">
        <v>43</v>
      </c>
      <c r="O491" s="39"/>
      <c r="P491" s="40" t="str">
        <f t="shared" si="7"/>
        <v>〇</v>
      </c>
      <c r="Q491" s="33" t="s">
        <v>45</v>
      </c>
      <c r="S491" s="33"/>
      <c r="T491" s="33"/>
    </row>
    <row r="492" hidden="1">
      <c r="A492" s="17">
        <f t="shared" si="2"/>
        <v>490</v>
      </c>
      <c r="B492" s="34" t="s">
        <v>1286</v>
      </c>
      <c r="C492" s="36" t="s">
        <v>1287</v>
      </c>
      <c r="D492" s="36" t="s">
        <v>1288</v>
      </c>
      <c r="E492" s="36" t="s">
        <v>1289</v>
      </c>
      <c r="F492" s="17"/>
      <c r="G492" s="17" t="s">
        <v>2</v>
      </c>
      <c r="H492" s="38"/>
      <c r="I492" s="38"/>
      <c r="J492" s="38" t="s">
        <v>1290</v>
      </c>
      <c r="K492" s="38" t="s">
        <v>1291</v>
      </c>
      <c r="L492" s="38" t="s">
        <v>1292</v>
      </c>
      <c r="M492" s="38" t="s">
        <v>41</v>
      </c>
      <c r="N492" s="17" t="s">
        <v>43</v>
      </c>
      <c r="O492" s="39"/>
      <c r="P492" s="40" t="str">
        <f t="shared" si="7"/>
        <v>〇</v>
      </c>
      <c r="Q492" s="33" t="s">
        <v>45</v>
      </c>
      <c r="S492" s="33"/>
      <c r="T492" s="33"/>
    </row>
    <row r="493" hidden="1">
      <c r="A493" s="17">
        <f t="shared" si="2"/>
        <v>491</v>
      </c>
      <c r="B493" s="42" t="s">
        <v>1286</v>
      </c>
      <c r="C493" s="55" t="s">
        <v>1287</v>
      </c>
      <c r="D493" s="42" t="s">
        <v>1288</v>
      </c>
      <c r="E493" s="36" t="s">
        <v>1293</v>
      </c>
      <c r="F493" s="17"/>
      <c r="G493" s="17" t="s">
        <v>2</v>
      </c>
      <c r="H493" s="38"/>
      <c r="I493" s="38"/>
      <c r="J493" s="38" t="s">
        <v>66</v>
      </c>
      <c r="K493" s="38" t="s">
        <v>1294</v>
      </c>
      <c r="L493" s="38" t="s">
        <v>1295</v>
      </c>
      <c r="M493" s="38" t="s">
        <v>41</v>
      </c>
      <c r="N493" s="17" t="s">
        <v>43</v>
      </c>
      <c r="O493" s="39"/>
      <c r="P493" s="40" t="str">
        <f t="shared" si="7"/>
        <v>〇</v>
      </c>
      <c r="Q493" s="33" t="s">
        <v>45</v>
      </c>
      <c r="S493" s="33"/>
      <c r="T493" s="33"/>
    </row>
    <row r="494" hidden="1">
      <c r="A494" s="17">
        <f t="shared" si="2"/>
        <v>492</v>
      </c>
      <c r="B494" s="42" t="s">
        <v>1286</v>
      </c>
      <c r="C494" s="55" t="s">
        <v>1287</v>
      </c>
      <c r="D494" s="42" t="s">
        <v>1288</v>
      </c>
      <c r="E494" s="36" t="s">
        <v>1296</v>
      </c>
      <c r="F494" s="17"/>
      <c r="G494" s="17" t="s">
        <v>2</v>
      </c>
      <c r="H494" s="38"/>
      <c r="I494" s="38"/>
      <c r="J494" s="38" t="s">
        <v>66</v>
      </c>
      <c r="K494" s="38" t="s">
        <v>1297</v>
      </c>
      <c r="L494" s="38" t="s">
        <v>1298</v>
      </c>
      <c r="M494" s="38" t="s">
        <v>41</v>
      </c>
      <c r="N494" s="17" t="s">
        <v>43</v>
      </c>
      <c r="O494" s="39"/>
      <c r="P494" s="40" t="str">
        <f t="shared" si="7"/>
        <v>〇</v>
      </c>
      <c r="Q494" s="33" t="s">
        <v>45</v>
      </c>
      <c r="S494" s="33"/>
      <c r="T494" s="33"/>
    </row>
    <row r="495" hidden="1">
      <c r="A495" s="17">
        <f t="shared" si="2"/>
        <v>493</v>
      </c>
      <c r="B495" s="42" t="s">
        <v>1286</v>
      </c>
      <c r="C495" s="36" t="s">
        <v>1299</v>
      </c>
      <c r="D495" s="36" t="s">
        <v>1288</v>
      </c>
      <c r="E495" s="36" t="s">
        <v>1289</v>
      </c>
      <c r="F495" s="17"/>
      <c r="G495" s="17" t="s">
        <v>2</v>
      </c>
      <c r="H495" s="38"/>
      <c r="I495" s="38"/>
      <c r="J495" s="38" t="s">
        <v>1300</v>
      </c>
      <c r="K495" s="38" t="s">
        <v>1291</v>
      </c>
      <c r="L495" s="38" t="s">
        <v>1292</v>
      </c>
      <c r="M495" s="38" t="s">
        <v>41</v>
      </c>
      <c r="N495" s="17" t="s">
        <v>43</v>
      </c>
      <c r="O495" s="39"/>
      <c r="P495" s="40" t="str">
        <f t="shared" si="7"/>
        <v>〇</v>
      </c>
      <c r="Q495" s="33" t="s">
        <v>45</v>
      </c>
      <c r="S495" s="33"/>
      <c r="T495" s="33"/>
    </row>
    <row r="496" hidden="1">
      <c r="A496" s="17">
        <f t="shared" si="2"/>
        <v>494</v>
      </c>
      <c r="B496" s="42" t="s">
        <v>1286</v>
      </c>
      <c r="C496" s="55" t="s">
        <v>1299</v>
      </c>
      <c r="D496" s="42" t="s">
        <v>1288</v>
      </c>
      <c r="E496" s="36" t="s">
        <v>1293</v>
      </c>
      <c r="F496" s="17"/>
      <c r="G496" s="17" t="s">
        <v>2</v>
      </c>
      <c r="H496" s="38"/>
      <c r="I496" s="38"/>
      <c r="J496" s="38" t="s">
        <v>66</v>
      </c>
      <c r="K496" s="38" t="s">
        <v>1294</v>
      </c>
      <c r="L496" s="38" t="s">
        <v>1295</v>
      </c>
      <c r="M496" s="38" t="s">
        <v>41</v>
      </c>
      <c r="N496" s="17" t="s">
        <v>43</v>
      </c>
      <c r="O496" s="39"/>
      <c r="P496" s="40" t="str">
        <f t="shared" si="7"/>
        <v>〇</v>
      </c>
      <c r="Q496" s="33" t="s">
        <v>45</v>
      </c>
      <c r="S496" s="33"/>
      <c r="T496" s="33"/>
    </row>
    <row r="497" hidden="1">
      <c r="A497" s="17">
        <f t="shared" si="2"/>
        <v>495</v>
      </c>
      <c r="B497" s="42" t="s">
        <v>1286</v>
      </c>
      <c r="C497" s="55" t="s">
        <v>1299</v>
      </c>
      <c r="D497" s="42" t="s">
        <v>1288</v>
      </c>
      <c r="E497" s="36" t="s">
        <v>1296</v>
      </c>
      <c r="F497" s="17"/>
      <c r="G497" s="17" t="s">
        <v>2</v>
      </c>
      <c r="H497" s="38"/>
      <c r="I497" s="38"/>
      <c r="J497" s="38" t="s">
        <v>66</v>
      </c>
      <c r="K497" s="38" t="s">
        <v>1301</v>
      </c>
      <c r="L497" s="38" t="s">
        <v>1298</v>
      </c>
      <c r="M497" s="38" t="s">
        <v>41</v>
      </c>
      <c r="N497" s="17" t="s">
        <v>43</v>
      </c>
      <c r="O497" s="39"/>
      <c r="P497" s="40" t="str">
        <f t="shared" si="7"/>
        <v>〇</v>
      </c>
      <c r="Q497" s="33" t="s">
        <v>45</v>
      </c>
      <c r="S497" s="33"/>
      <c r="T497" s="33"/>
    </row>
    <row r="498" hidden="1">
      <c r="A498" s="17">
        <f t="shared" si="2"/>
        <v>496</v>
      </c>
      <c r="B498" s="34" t="s">
        <v>1302</v>
      </c>
      <c r="C498" s="36" t="s">
        <v>1303</v>
      </c>
      <c r="D498" s="36"/>
      <c r="E498" s="36"/>
      <c r="F498" s="17"/>
      <c r="G498" s="17" t="s">
        <v>8</v>
      </c>
      <c r="H498" s="38"/>
      <c r="I498" s="38"/>
      <c r="J498" s="38" t="s">
        <v>1304</v>
      </c>
      <c r="K498" s="38" t="s">
        <v>1305</v>
      </c>
      <c r="L498" s="38" t="s">
        <v>1306</v>
      </c>
      <c r="M498" s="38" t="s">
        <v>41</v>
      </c>
      <c r="N498" s="17" t="s">
        <v>43</v>
      </c>
      <c r="O498" s="39"/>
      <c r="P498" s="40" t="str">
        <f t="shared" si="7"/>
        <v>〇</v>
      </c>
      <c r="Q498" s="33" t="s">
        <v>45</v>
      </c>
      <c r="S498" s="33"/>
      <c r="T498" s="33"/>
    </row>
    <row r="499" hidden="1">
      <c r="A499" s="17">
        <f t="shared" si="2"/>
        <v>497</v>
      </c>
      <c r="B499" s="42" t="s">
        <v>1302</v>
      </c>
      <c r="C499" s="36" t="s">
        <v>1307</v>
      </c>
      <c r="D499" s="36"/>
      <c r="E499" s="36"/>
      <c r="F499" s="17"/>
      <c r="G499" s="17" t="s">
        <v>2</v>
      </c>
      <c r="H499" s="38"/>
      <c r="I499" s="46" t="s">
        <v>1308</v>
      </c>
      <c r="J499" s="38" t="s">
        <v>1304</v>
      </c>
      <c r="K499" s="38" t="s">
        <v>1309</v>
      </c>
      <c r="L499" s="38" t="s">
        <v>1310</v>
      </c>
      <c r="M499" s="38" t="s">
        <v>41</v>
      </c>
      <c r="N499" s="17" t="s">
        <v>43</v>
      </c>
      <c r="O499" s="13"/>
      <c r="P499" s="40" t="str">
        <f t="shared" si="7"/>
        <v>〇</v>
      </c>
      <c r="Q499" s="33" t="s">
        <v>45</v>
      </c>
      <c r="S499" s="33"/>
      <c r="T499" s="33"/>
    </row>
    <row r="500" hidden="1">
      <c r="A500" s="17">
        <f t="shared" si="2"/>
        <v>498</v>
      </c>
      <c r="B500" s="42" t="s">
        <v>1302</v>
      </c>
      <c r="C500" s="36" t="s">
        <v>1311</v>
      </c>
      <c r="D500" s="36"/>
      <c r="E500" s="36"/>
      <c r="F500" s="17"/>
      <c r="G500" s="17" t="s">
        <v>2</v>
      </c>
      <c r="H500" s="38"/>
      <c r="I500" s="46" t="s">
        <v>1308</v>
      </c>
      <c r="J500" s="38" t="s">
        <v>1304</v>
      </c>
      <c r="K500" s="38" t="s">
        <v>1312</v>
      </c>
      <c r="L500" s="38" t="s">
        <v>1313</v>
      </c>
      <c r="M500" s="38" t="s">
        <v>41</v>
      </c>
      <c r="N500" s="17" t="s">
        <v>43</v>
      </c>
      <c r="O500" s="13"/>
      <c r="P500" s="40" t="str">
        <f t="shared" si="7"/>
        <v>〇</v>
      </c>
      <c r="Q500" s="33" t="s">
        <v>45</v>
      </c>
      <c r="S500" s="33"/>
      <c r="T500" s="33"/>
    </row>
    <row r="501" hidden="1">
      <c r="A501" s="17">
        <f t="shared" si="2"/>
        <v>499</v>
      </c>
      <c r="B501" s="34" t="s">
        <v>1314</v>
      </c>
      <c r="C501" s="36" t="s">
        <v>1315</v>
      </c>
      <c r="D501" s="36"/>
      <c r="E501" s="36"/>
      <c r="F501" s="17"/>
      <c r="G501" s="17" t="s">
        <v>2</v>
      </c>
      <c r="H501" s="38"/>
      <c r="I501" s="38"/>
      <c r="J501" s="38" t="s">
        <v>1316</v>
      </c>
      <c r="K501" s="38" t="s">
        <v>1317</v>
      </c>
      <c r="L501" s="38" t="s">
        <v>1318</v>
      </c>
      <c r="M501" s="38" t="s">
        <v>41</v>
      </c>
      <c r="N501" s="17" t="s">
        <v>43</v>
      </c>
      <c r="O501" s="13"/>
      <c r="P501" s="40" t="str">
        <f t="shared" si="7"/>
        <v>〇</v>
      </c>
      <c r="Q501" s="33" t="s">
        <v>45</v>
      </c>
      <c r="S501" s="33"/>
      <c r="T501" s="33"/>
    </row>
    <row r="502" hidden="1">
      <c r="A502" s="17">
        <f t="shared" si="2"/>
        <v>500</v>
      </c>
      <c r="B502" s="42" t="s">
        <v>1314</v>
      </c>
      <c r="C502" s="36" t="s">
        <v>1319</v>
      </c>
      <c r="D502" s="36"/>
      <c r="E502" s="36"/>
      <c r="F502" s="17"/>
      <c r="G502" s="17" t="s">
        <v>2</v>
      </c>
      <c r="H502" s="38"/>
      <c r="I502" s="38"/>
      <c r="J502" s="38" t="s">
        <v>1316</v>
      </c>
      <c r="K502" s="38" t="s">
        <v>1320</v>
      </c>
      <c r="L502" s="38" t="s">
        <v>1321</v>
      </c>
      <c r="M502" s="38" t="s">
        <v>41</v>
      </c>
      <c r="N502" s="17" t="s">
        <v>43</v>
      </c>
      <c r="O502" s="39"/>
      <c r="P502" s="40" t="str">
        <f t="shared" si="7"/>
        <v>〇</v>
      </c>
      <c r="Q502" s="33" t="s">
        <v>45</v>
      </c>
      <c r="S502" s="33"/>
      <c r="T502" s="33"/>
    </row>
    <row r="503" hidden="1">
      <c r="A503" s="17">
        <f t="shared" si="2"/>
        <v>501</v>
      </c>
      <c r="B503" s="42" t="s">
        <v>1314</v>
      </c>
      <c r="C503" s="36" t="s">
        <v>1322</v>
      </c>
      <c r="D503" s="36"/>
      <c r="E503" s="36"/>
      <c r="F503" s="17"/>
      <c r="G503" s="17" t="s">
        <v>7</v>
      </c>
      <c r="H503" s="38"/>
      <c r="I503" s="38"/>
      <c r="J503" s="38" t="s">
        <v>1316</v>
      </c>
      <c r="K503" s="38" t="s">
        <v>1323</v>
      </c>
      <c r="L503" s="38" t="s">
        <v>1324</v>
      </c>
      <c r="M503" s="38" t="s">
        <v>41</v>
      </c>
      <c r="N503" s="17" t="s">
        <v>43</v>
      </c>
      <c r="O503" s="39"/>
      <c r="P503" s="40" t="str">
        <f t="shared" si="7"/>
        <v>〇</v>
      </c>
      <c r="Q503" s="33" t="s">
        <v>45</v>
      </c>
      <c r="S503" s="33"/>
      <c r="T503" s="33"/>
    </row>
    <row r="504" hidden="1">
      <c r="A504" s="17">
        <f t="shared" si="2"/>
        <v>502</v>
      </c>
      <c r="B504" s="42" t="s">
        <v>1314</v>
      </c>
      <c r="C504" s="36" t="s">
        <v>1325</v>
      </c>
      <c r="D504" s="36"/>
      <c r="E504" s="36"/>
      <c r="F504" s="17"/>
      <c r="G504" s="17" t="s">
        <v>8</v>
      </c>
      <c r="H504" s="38"/>
      <c r="I504" s="38"/>
      <c r="J504" s="38" t="s">
        <v>1316</v>
      </c>
      <c r="K504" s="38" t="s">
        <v>1326</v>
      </c>
      <c r="L504" s="38" t="s">
        <v>1327</v>
      </c>
      <c r="M504" s="38" t="s">
        <v>41</v>
      </c>
      <c r="N504" s="17" t="s">
        <v>43</v>
      </c>
      <c r="O504" s="39"/>
      <c r="P504" s="40" t="str">
        <f t="shared" si="7"/>
        <v>〇</v>
      </c>
      <c r="Q504" s="33" t="s">
        <v>45</v>
      </c>
      <c r="S504" s="33"/>
      <c r="T504" s="33"/>
    </row>
    <row r="505" hidden="1">
      <c r="A505" s="17">
        <f t="shared" si="2"/>
        <v>503</v>
      </c>
      <c r="B505" s="42" t="s">
        <v>1314</v>
      </c>
      <c r="C505" s="36" t="s">
        <v>1103</v>
      </c>
      <c r="D505" s="36"/>
      <c r="E505" s="36"/>
      <c r="F505" s="17"/>
      <c r="G505" s="17" t="s">
        <v>8</v>
      </c>
      <c r="H505" s="38"/>
      <c r="I505" s="38"/>
      <c r="J505" s="38" t="s">
        <v>1316</v>
      </c>
      <c r="K505" s="38" t="s">
        <v>1328</v>
      </c>
      <c r="L505" s="38" t="s">
        <v>1329</v>
      </c>
      <c r="M505" s="38" t="s">
        <v>41</v>
      </c>
      <c r="N505" s="17" t="s">
        <v>43</v>
      </c>
      <c r="O505" s="39"/>
      <c r="P505" s="40" t="str">
        <f t="shared" si="7"/>
        <v>〇</v>
      </c>
      <c r="Q505" s="33" t="s">
        <v>45</v>
      </c>
      <c r="S505" s="41"/>
      <c r="T505" s="33"/>
    </row>
    <row r="506" hidden="1">
      <c r="A506" s="17">
        <f t="shared" si="2"/>
        <v>504</v>
      </c>
      <c r="B506" s="34" t="s">
        <v>1330</v>
      </c>
      <c r="C506" s="34" t="s">
        <v>1331</v>
      </c>
      <c r="D506" s="36" t="s">
        <v>1332</v>
      </c>
      <c r="E506" s="36"/>
      <c r="F506" s="17"/>
      <c r="G506" s="17" t="s">
        <v>7</v>
      </c>
      <c r="H506" s="38"/>
      <c r="I506" s="38"/>
      <c r="J506" s="38" t="s">
        <v>1333</v>
      </c>
      <c r="K506" s="38" t="s">
        <v>1334</v>
      </c>
      <c r="L506" s="38" t="s">
        <v>1335</v>
      </c>
      <c r="M506" s="38" t="s">
        <v>41</v>
      </c>
      <c r="N506" s="17" t="s">
        <v>43</v>
      </c>
      <c r="O506" s="39"/>
      <c r="P506" s="40" t="str">
        <f t="shared" si="7"/>
        <v>〇</v>
      </c>
      <c r="Q506" s="33" t="s">
        <v>45</v>
      </c>
      <c r="S506" s="33"/>
      <c r="T506" s="33"/>
    </row>
    <row r="507" hidden="1">
      <c r="A507" s="17">
        <f t="shared" si="2"/>
        <v>505</v>
      </c>
      <c r="B507" s="42" t="s">
        <v>1330</v>
      </c>
      <c r="C507" s="42" t="s">
        <v>1331</v>
      </c>
      <c r="D507" s="36" t="s">
        <v>1336</v>
      </c>
      <c r="E507" s="36"/>
      <c r="F507" s="17"/>
      <c r="G507" s="17" t="s">
        <v>8</v>
      </c>
      <c r="H507" s="38"/>
      <c r="I507" s="38"/>
      <c r="J507" s="38" t="s">
        <v>1333</v>
      </c>
      <c r="K507" s="38" t="s">
        <v>1337</v>
      </c>
      <c r="L507" s="38" t="s">
        <v>1338</v>
      </c>
      <c r="M507" s="38" t="s">
        <v>41</v>
      </c>
      <c r="N507" s="17" t="s">
        <v>43</v>
      </c>
      <c r="O507" s="48"/>
      <c r="P507" s="40" t="str">
        <f t="shared" si="7"/>
        <v>〇</v>
      </c>
      <c r="Q507" s="33" t="s">
        <v>45</v>
      </c>
      <c r="S507" s="33"/>
      <c r="T507" s="33"/>
    </row>
    <row r="508" hidden="1">
      <c r="A508" s="17">
        <f t="shared" si="2"/>
        <v>506</v>
      </c>
      <c r="B508" s="42" t="s">
        <v>1330</v>
      </c>
      <c r="C508" s="34" t="s">
        <v>1339</v>
      </c>
      <c r="D508" s="36" t="s">
        <v>1332</v>
      </c>
      <c r="E508" s="36"/>
      <c r="F508" s="17"/>
      <c r="G508" s="17" t="s">
        <v>7</v>
      </c>
      <c r="H508" s="38"/>
      <c r="I508" s="38"/>
      <c r="J508" s="38" t="s">
        <v>1333</v>
      </c>
      <c r="K508" s="38" t="s">
        <v>1340</v>
      </c>
      <c r="L508" s="38" t="s">
        <v>1341</v>
      </c>
      <c r="M508" s="38"/>
      <c r="N508" s="44" t="s">
        <v>23</v>
      </c>
      <c r="O508" s="39" t="s">
        <v>1342</v>
      </c>
      <c r="P508" s="40" t="str">
        <f t="shared" si="7"/>
        <v>×</v>
      </c>
      <c r="Q508" s="33" t="s">
        <v>59</v>
      </c>
      <c r="S508" s="33"/>
      <c r="T508" s="33"/>
    </row>
    <row r="509" hidden="1">
      <c r="A509" s="17">
        <f t="shared" si="2"/>
        <v>507</v>
      </c>
      <c r="B509" s="42" t="s">
        <v>1330</v>
      </c>
      <c r="C509" s="42" t="s">
        <v>1339</v>
      </c>
      <c r="D509" s="36" t="s">
        <v>1336</v>
      </c>
      <c r="E509" s="36"/>
      <c r="F509" s="17"/>
      <c r="G509" s="17" t="s">
        <v>7</v>
      </c>
      <c r="H509" s="38"/>
      <c r="I509" s="38"/>
      <c r="J509" s="38" t="s">
        <v>1333</v>
      </c>
      <c r="K509" s="38" t="s">
        <v>1343</v>
      </c>
      <c r="L509" s="38" t="s">
        <v>1344</v>
      </c>
      <c r="M509" s="38"/>
      <c r="N509" s="44" t="s">
        <v>23</v>
      </c>
      <c r="O509" s="39" t="s">
        <v>1342</v>
      </c>
      <c r="P509" s="40" t="str">
        <f t="shared" si="7"/>
        <v>×</v>
      </c>
      <c r="Q509" s="33" t="s">
        <v>59</v>
      </c>
      <c r="S509" s="33"/>
      <c r="T509" s="33"/>
    </row>
    <row r="510" hidden="1">
      <c r="A510" s="17">
        <f t="shared" si="2"/>
        <v>508</v>
      </c>
      <c r="B510" s="34" t="s">
        <v>1345</v>
      </c>
      <c r="C510" s="36" t="s">
        <v>1346</v>
      </c>
      <c r="D510" s="36"/>
      <c r="E510" s="36"/>
      <c r="F510" s="17"/>
      <c r="G510" s="17" t="s">
        <v>2</v>
      </c>
      <c r="H510" s="38"/>
      <c r="I510" s="38"/>
      <c r="J510" s="38" t="s">
        <v>1347</v>
      </c>
      <c r="K510" s="38" t="s">
        <v>1348</v>
      </c>
      <c r="L510" s="38" t="s">
        <v>1349</v>
      </c>
      <c r="M510" s="38" t="s">
        <v>41</v>
      </c>
      <c r="N510" s="17" t="s">
        <v>43</v>
      </c>
      <c r="O510" s="13"/>
      <c r="P510" s="40" t="str">
        <f t="shared" si="7"/>
        <v>〇</v>
      </c>
      <c r="Q510" s="33" t="s">
        <v>45</v>
      </c>
      <c r="S510" s="33"/>
      <c r="T510" s="33"/>
    </row>
    <row r="511" hidden="1">
      <c r="A511" s="17">
        <f t="shared" si="2"/>
        <v>509</v>
      </c>
      <c r="B511" s="42" t="s">
        <v>1345</v>
      </c>
      <c r="C511" s="34" t="s">
        <v>1288</v>
      </c>
      <c r="D511" s="36" t="s">
        <v>1350</v>
      </c>
      <c r="E511" s="36"/>
      <c r="F511" s="17"/>
      <c r="G511" s="17" t="s">
        <v>8</v>
      </c>
      <c r="H511" s="38"/>
      <c r="I511" s="38"/>
      <c r="J511" s="38" t="s">
        <v>1347</v>
      </c>
      <c r="K511" s="38" t="s">
        <v>1351</v>
      </c>
      <c r="L511" s="38" t="s">
        <v>1352</v>
      </c>
      <c r="M511" s="38" t="s">
        <v>41</v>
      </c>
      <c r="N511" s="17" t="s">
        <v>43</v>
      </c>
      <c r="O511" s="39"/>
      <c r="P511" s="40" t="str">
        <f t="shared" si="7"/>
        <v>〇</v>
      </c>
      <c r="Q511" s="33" t="s">
        <v>45</v>
      </c>
      <c r="S511" s="33"/>
      <c r="T511" s="33"/>
    </row>
    <row r="512" hidden="1">
      <c r="A512" s="17">
        <f t="shared" si="2"/>
        <v>510</v>
      </c>
      <c r="B512" s="42" t="s">
        <v>1345</v>
      </c>
      <c r="C512" s="42" t="s">
        <v>1288</v>
      </c>
      <c r="D512" s="36" t="s">
        <v>1353</v>
      </c>
      <c r="E512" s="36"/>
      <c r="F512" s="17"/>
      <c r="G512" s="17" t="s">
        <v>8</v>
      </c>
      <c r="H512" s="38"/>
      <c r="I512" s="38"/>
      <c r="J512" s="38" t="s">
        <v>1347</v>
      </c>
      <c r="K512" s="38" t="s">
        <v>1354</v>
      </c>
      <c r="L512" s="38" t="s">
        <v>1355</v>
      </c>
      <c r="M512" s="38" t="s">
        <v>41</v>
      </c>
      <c r="N512" s="17" t="s">
        <v>43</v>
      </c>
      <c r="O512" s="39"/>
      <c r="P512" s="40" t="str">
        <f t="shared" si="7"/>
        <v>〇</v>
      </c>
      <c r="Q512" s="33" t="s">
        <v>45</v>
      </c>
      <c r="S512" s="33"/>
      <c r="T512" s="33"/>
    </row>
    <row r="513" hidden="1">
      <c r="A513" s="17">
        <f t="shared" si="2"/>
        <v>511</v>
      </c>
      <c r="B513" s="42" t="s">
        <v>1345</v>
      </c>
      <c r="C513" s="42" t="s">
        <v>1288</v>
      </c>
      <c r="D513" s="36" t="s">
        <v>1356</v>
      </c>
      <c r="E513" s="36"/>
      <c r="F513" s="17"/>
      <c r="G513" s="17" t="s">
        <v>8</v>
      </c>
      <c r="H513" s="38"/>
      <c r="I513" s="38"/>
      <c r="J513" s="38" t="s">
        <v>1347</v>
      </c>
      <c r="K513" s="38" t="s">
        <v>1357</v>
      </c>
      <c r="L513" s="38" t="s">
        <v>1358</v>
      </c>
      <c r="M513" s="38" t="s">
        <v>41</v>
      </c>
      <c r="N513" s="17" t="s">
        <v>43</v>
      </c>
      <c r="O513" s="39"/>
      <c r="P513" s="40" t="str">
        <f t="shared" si="7"/>
        <v>〇</v>
      </c>
      <c r="Q513" s="33" t="s">
        <v>45</v>
      </c>
      <c r="S513" s="33"/>
      <c r="T513" s="33"/>
    </row>
    <row r="514" hidden="1">
      <c r="A514" s="17">
        <f t="shared" si="2"/>
        <v>512</v>
      </c>
      <c r="B514" s="42" t="s">
        <v>1345</v>
      </c>
      <c r="C514" s="36" t="s">
        <v>1359</v>
      </c>
      <c r="D514" s="36"/>
      <c r="E514" s="36"/>
      <c r="F514" s="17"/>
      <c r="G514" s="17" t="s">
        <v>8</v>
      </c>
      <c r="H514" s="38"/>
      <c r="I514" s="38"/>
      <c r="J514" s="38" t="s">
        <v>1347</v>
      </c>
      <c r="K514" s="38" t="s">
        <v>1360</v>
      </c>
      <c r="L514" s="38" t="s">
        <v>1361</v>
      </c>
      <c r="M514" s="38" t="s">
        <v>41</v>
      </c>
      <c r="N514" s="17" t="s">
        <v>43</v>
      </c>
      <c r="O514" s="48"/>
      <c r="P514" s="40" t="str">
        <f t="shared" si="7"/>
        <v>〇</v>
      </c>
      <c r="Q514" s="33" t="s">
        <v>45</v>
      </c>
      <c r="S514" s="33"/>
      <c r="T514" s="33"/>
    </row>
    <row r="515" hidden="1">
      <c r="A515" s="17">
        <f t="shared" si="2"/>
        <v>513</v>
      </c>
      <c r="B515" s="42" t="s">
        <v>1345</v>
      </c>
      <c r="C515" s="36" t="s">
        <v>1362</v>
      </c>
      <c r="D515" s="96"/>
      <c r="E515" s="36"/>
      <c r="F515" s="17"/>
      <c r="G515" s="17" t="s">
        <v>8</v>
      </c>
      <c r="H515" s="38"/>
      <c r="I515" s="38"/>
      <c r="J515" s="38" t="s">
        <v>1347</v>
      </c>
      <c r="K515" s="38" t="s">
        <v>1363</v>
      </c>
      <c r="L515" s="38" t="s">
        <v>1364</v>
      </c>
      <c r="M515" s="38" t="s">
        <v>41</v>
      </c>
      <c r="N515" s="17" t="s">
        <v>43</v>
      </c>
      <c r="O515" s="39"/>
      <c r="P515" s="40" t="str">
        <f t="shared" si="7"/>
        <v>〇</v>
      </c>
      <c r="Q515" s="33" t="s">
        <v>45</v>
      </c>
      <c r="S515" s="33"/>
      <c r="T515" s="33"/>
    </row>
    <row r="516" hidden="1">
      <c r="A516" s="17">
        <f t="shared" si="2"/>
        <v>514</v>
      </c>
      <c r="B516" s="42" t="s">
        <v>1345</v>
      </c>
      <c r="C516" s="36" t="s">
        <v>1365</v>
      </c>
      <c r="D516" s="36"/>
      <c r="E516" s="36"/>
      <c r="F516" s="17"/>
      <c r="G516" s="17" t="s">
        <v>8</v>
      </c>
      <c r="H516" s="38"/>
      <c r="I516" s="38"/>
      <c r="J516" s="38" t="s">
        <v>1347</v>
      </c>
      <c r="K516" s="38" t="s">
        <v>1366</v>
      </c>
      <c r="L516" s="38" t="s">
        <v>1367</v>
      </c>
      <c r="M516" s="38" t="s">
        <v>41</v>
      </c>
      <c r="N516" s="17" t="s">
        <v>43</v>
      </c>
      <c r="O516" s="39"/>
      <c r="P516" s="40" t="str">
        <f t="shared" si="7"/>
        <v>〇</v>
      </c>
      <c r="Q516" s="33" t="s">
        <v>45</v>
      </c>
      <c r="S516" s="33"/>
      <c r="T516" s="33"/>
    </row>
    <row r="517" hidden="1">
      <c r="A517" s="17">
        <f t="shared" si="2"/>
        <v>515</v>
      </c>
      <c r="B517" s="34" t="s">
        <v>1368</v>
      </c>
      <c r="C517" s="36" t="s">
        <v>1369</v>
      </c>
      <c r="D517" s="36"/>
      <c r="E517" s="36"/>
      <c r="F517" s="17"/>
      <c r="G517" s="17" t="s">
        <v>2</v>
      </c>
      <c r="H517" s="38"/>
      <c r="I517" s="38" t="s">
        <v>1370</v>
      </c>
      <c r="J517" s="38" t="s">
        <v>1371</v>
      </c>
      <c r="K517" s="38" t="s">
        <v>1372</v>
      </c>
      <c r="L517" s="38" t="s">
        <v>1373</v>
      </c>
      <c r="M517" s="38" t="s">
        <v>41</v>
      </c>
      <c r="N517" s="17" t="s">
        <v>43</v>
      </c>
      <c r="O517" s="13"/>
      <c r="P517" s="40" t="str">
        <f t="shared" si="7"/>
        <v>〇</v>
      </c>
      <c r="Q517" s="33" t="s">
        <v>45</v>
      </c>
      <c r="S517" s="33"/>
      <c r="T517" s="33"/>
    </row>
    <row r="518" hidden="1">
      <c r="A518" s="17">
        <f t="shared" si="2"/>
        <v>516</v>
      </c>
      <c r="B518" s="42" t="s">
        <v>1368</v>
      </c>
      <c r="C518" s="36" t="s">
        <v>504</v>
      </c>
      <c r="D518" s="36" t="s">
        <v>1374</v>
      </c>
      <c r="E518" s="36"/>
      <c r="F518" s="17"/>
      <c r="G518" s="17" t="s">
        <v>7</v>
      </c>
      <c r="H518" s="38"/>
      <c r="I518" s="38"/>
      <c r="J518" s="38" t="s">
        <v>1371</v>
      </c>
      <c r="K518" s="38" t="s">
        <v>1375</v>
      </c>
      <c r="L518" s="38" t="s">
        <v>1376</v>
      </c>
      <c r="M518" s="38" t="s">
        <v>41</v>
      </c>
      <c r="N518" s="17" t="s">
        <v>43</v>
      </c>
      <c r="O518" s="39"/>
      <c r="P518" s="40" t="str">
        <f t="shared" si="7"/>
        <v>〇</v>
      </c>
      <c r="Q518" s="33" t="s">
        <v>45</v>
      </c>
      <c r="S518" s="33"/>
      <c r="T518" s="33"/>
    </row>
    <row r="519" hidden="1">
      <c r="A519" s="17">
        <f t="shared" si="2"/>
        <v>517</v>
      </c>
      <c r="B519" s="42" t="s">
        <v>1368</v>
      </c>
      <c r="C519" s="43" t="s">
        <v>504</v>
      </c>
      <c r="D519" s="36" t="s">
        <v>1256</v>
      </c>
      <c r="E519" s="36"/>
      <c r="F519" s="17"/>
      <c r="G519" s="17" t="s">
        <v>7</v>
      </c>
      <c r="H519" s="38"/>
      <c r="I519" s="38"/>
      <c r="J519" s="38" t="s">
        <v>1371</v>
      </c>
      <c r="K519" s="38" t="s">
        <v>1377</v>
      </c>
      <c r="L519" s="38" t="s">
        <v>1378</v>
      </c>
      <c r="M519" s="38" t="s">
        <v>41</v>
      </c>
      <c r="N519" s="17" t="s">
        <v>43</v>
      </c>
      <c r="O519" s="39"/>
      <c r="P519" s="40" t="str">
        <f t="shared" si="7"/>
        <v>〇</v>
      </c>
      <c r="Q519" s="33" t="s">
        <v>45</v>
      </c>
      <c r="S519" s="33"/>
      <c r="T519" s="33"/>
    </row>
    <row r="520" hidden="1">
      <c r="A520" s="17">
        <f t="shared" si="2"/>
        <v>518</v>
      </c>
      <c r="B520" s="42" t="s">
        <v>1368</v>
      </c>
      <c r="C520" s="43" t="s">
        <v>504</v>
      </c>
      <c r="D520" s="36" t="s">
        <v>1379</v>
      </c>
      <c r="E520" s="36"/>
      <c r="F520" s="17"/>
      <c r="G520" s="17" t="s">
        <v>2</v>
      </c>
      <c r="H520" s="38"/>
      <c r="I520" s="38"/>
      <c r="J520" s="38" t="s">
        <v>66</v>
      </c>
      <c r="K520" s="38" t="s">
        <v>1380</v>
      </c>
      <c r="L520" s="38" t="s">
        <v>1381</v>
      </c>
      <c r="M520" s="38" t="s">
        <v>41</v>
      </c>
      <c r="N520" s="17" t="s">
        <v>43</v>
      </c>
      <c r="O520" s="39"/>
      <c r="P520" s="40" t="str">
        <f t="shared" si="7"/>
        <v>〇</v>
      </c>
      <c r="Q520" s="33" t="s">
        <v>45</v>
      </c>
      <c r="S520" s="33"/>
      <c r="T520" s="33"/>
    </row>
    <row r="521" hidden="1">
      <c r="A521" s="17">
        <f t="shared" si="2"/>
        <v>519</v>
      </c>
      <c r="B521" s="42" t="s">
        <v>1368</v>
      </c>
      <c r="C521" s="43" t="s">
        <v>504</v>
      </c>
      <c r="D521" s="36" t="s">
        <v>1382</v>
      </c>
      <c r="E521" s="36"/>
      <c r="F521" s="17"/>
      <c r="G521" s="17" t="s">
        <v>7</v>
      </c>
      <c r="H521" s="38"/>
      <c r="I521" s="38" t="s">
        <v>1383</v>
      </c>
      <c r="J521" s="38" t="s">
        <v>66</v>
      </c>
      <c r="K521" s="38" t="s">
        <v>1384</v>
      </c>
      <c r="L521" s="38" t="s">
        <v>1385</v>
      </c>
      <c r="M521" s="38" t="s">
        <v>41</v>
      </c>
      <c r="N521" s="17" t="s">
        <v>43</v>
      </c>
      <c r="O521" s="39"/>
      <c r="P521" s="40" t="str">
        <f t="shared" si="7"/>
        <v>〇</v>
      </c>
      <c r="Q521" s="33" t="s">
        <v>45</v>
      </c>
      <c r="S521" s="99"/>
      <c r="T521" s="33"/>
    </row>
    <row r="522" hidden="1">
      <c r="A522" s="17">
        <f t="shared" si="2"/>
        <v>520</v>
      </c>
      <c r="B522" s="38" t="s">
        <v>1386</v>
      </c>
      <c r="C522" s="36" t="s">
        <v>1387</v>
      </c>
      <c r="D522" s="36"/>
      <c r="E522" s="36"/>
      <c r="F522" s="17"/>
      <c r="G522" s="17" t="s">
        <v>7</v>
      </c>
      <c r="H522" s="38"/>
      <c r="I522" s="38"/>
      <c r="J522" s="38" t="s">
        <v>1388</v>
      </c>
      <c r="K522" s="38" t="s">
        <v>1389</v>
      </c>
      <c r="L522" s="38" t="s">
        <v>1390</v>
      </c>
      <c r="M522" s="38"/>
      <c r="N522" s="44" t="s">
        <v>23</v>
      </c>
      <c r="O522" s="39" t="s">
        <v>1342</v>
      </c>
      <c r="P522" s="40" t="str">
        <f t="shared" si="7"/>
        <v>×</v>
      </c>
      <c r="Q522" s="33" t="s">
        <v>59</v>
      </c>
      <c r="S522" s="33"/>
      <c r="T522" s="33"/>
    </row>
    <row r="523" hidden="1">
      <c r="A523" s="17">
        <f t="shared" si="2"/>
        <v>521</v>
      </c>
      <c r="B523" s="100" t="s">
        <v>1386</v>
      </c>
      <c r="C523" s="36" t="s">
        <v>1391</v>
      </c>
      <c r="D523" s="36"/>
      <c r="E523" s="36"/>
      <c r="F523" s="17"/>
      <c r="G523" s="17" t="s">
        <v>7</v>
      </c>
      <c r="H523" s="38"/>
      <c r="I523" s="38"/>
      <c r="J523" s="38" t="s">
        <v>1388</v>
      </c>
      <c r="K523" s="38" t="s">
        <v>1392</v>
      </c>
      <c r="L523" s="38" t="s">
        <v>1393</v>
      </c>
      <c r="M523" s="38"/>
      <c r="N523" s="44" t="s">
        <v>23</v>
      </c>
      <c r="O523" s="39" t="s">
        <v>1342</v>
      </c>
      <c r="P523" s="40" t="str">
        <f t="shared" si="7"/>
        <v>×</v>
      </c>
      <c r="Q523" s="33" t="s">
        <v>59</v>
      </c>
      <c r="S523" s="33"/>
      <c r="T523" s="33"/>
    </row>
    <row r="524" hidden="1">
      <c r="A524" s="17">
        <f t="shared" si="2"/>
        <v>522</v>
      </c>
      <c r="B524" s="100" t="s">
        <v>1386</v>
      </c>
      <c r="C524" s="36" t="s">
        <v>1394</v>
      </c>
      <c r="D524" s="36"/>
      <c r="E524" s="36"/>
      <c r="F524" s="17"/>
      <c r="G524" s="17" t="s">
        <v>7</v>
      </c>
      <c r="H524" s="38"/>
      <c r="I524" s="38"/>
      <c r="J524" s="38" t="s">
        <v>1388</v>
      </c>
      <c r="K524" s="38" t="s">
        <v>1395</v>
      </c>
      <c r="L524" s="38" t="s">
        <v>1396</v>
      </c>
      <c r="M524" s="38"/>
      <c r="N524" s="44" t="s">
        <v>23</v>
      </c>
      <c r="O524" s="39" t="s">
        <v>1342</v>
      </c>
      <c r="P524" s="40" t="str">
        <f t="shared" si="7"/>
        <v>×</v>
      </c>
      <c r="Q524" s="33" t="s">
        <v>59</v>
      </c>
      <c r="S524" s="33"/>
      <c r="T524" s="33"/>
    </row>
    <row r="525" hidden="1">
      <c r="A525" s="17">
        <f t="shared" si="2"/>
        <v>523</v>
      </c>
      <c r="B525" s="100" t="s">
        <v>1386</v>
      </c>
      <c r="C525" s="36" t="s">
        <v>1397</v>
      </c>
      <c r="D525" s="36"/>
      <c r="E525" s="36"/>
      <c r="F525" s="17"/>
      <c r="G525" s="17" t="s">
        <v>7</v>
      </c>
      <c r="H525" s="38"/>
      <c r="I525" s="38"/>
      <c r="J525" s="38" t="s">
        <v>1388</v>
      </c>
      <c r="K525" s="38" t="s">
        <v>1398</v>
      </c>
      <c r="L525" s="38" t="s">
        <v>1399</v>
      </c>
      <c r="M525" s="38"/>
      <c r="N525" s="44" t="s">
        <v>23</v>
      </c>
      <c r="O525" s="39" t="s">
        <v>1342</v>
      </c>
      <c r="P525" s="40" t="str">
        <f t="shared" si="7"/>
        <v>×</v>
      </c>
      <c r="Q525" s="33" t="s">
        <v>59</v>
      </c>
      <c r="S525" s="33"/>
      <c r="T525" s="33"/>
    </row>
    <row r="526" hidden="1">
      <c r="A526" s="17">
        <f t="shared" si="2"/>
        <v>524</v>
      </c>
      <c r="B526" s="100" t="s">
        <v>1386</v>
      </c>
      <c r="C526" s="36" t="s">
        <v>198</v>
      </c>
      <c r="D526" s="36"/>
      <c r="E526" s="36"/>
      <c r="F526" s="17"/>
      <c r="G526" s="17" t="s">
        <v>7</v>
      </c>
      <c r="H526" s="38"/>
      <c r="I526" s="38"/>
      <c r="J526" s="38" t="s">
        <v>1388</v>
      </c>
      <c r="K526" s="38" t="s">
        <v>199</v>
      </c>
      <c r="L526" s="38" t="s">
        <v>1400</v>
      </c>
      <c r="M526" s="38"/>
      <c r="N526" s="44" t="s">
        <v>23</v>
      </c>
      <c r="O526" s="39" t="s">
        <v>1342</v>
      </c>
      <c r="P526" s="40" t="str">
        <f t="shared" si="7"/>
        <v>×</v>
      </c>
      <c r="Q526" s="41" t="s">
        <v>59</v>
      </c>
      <c r="S526" s="33"/>
      <c r="T526" s="33"/>
    </row>
    <row r="527" hidden="1">
      <c r="A527" s="17">
        <f t="shared" si="2"/>
        <v>525</v>
      </c>
      <c r="B527" s="38" t="s">
        <v>1401</v>
      </c>
      <c r="C527" s="36" t="s">
        <v>1402</v>
      </c>
      <c r="D527" s="36"/>
      <c r="E527" s="36"/>
      <c r="F527" s="17"/>
      <c r="G527" s="17" t="s">
        <v>8</v>
      </c>
      <c r="H527" s="38"/>
      <c r="I527" s="38" t="s">
        <v>1403</v>
      </c>
      <c r="J527" s="17"/>
      <c r="K527" s="38" t="s">
        <v>1404</v>
      </c>
      <c r="L527" s="38" t="s">
        <v>1361</v>
      </c>
      <c r="M527" s="38" t="s">
        <v>1278</v>
      </c>
      <c r="N527" s="44" t="s">
        <v>23</v>
      </c>
      <c r="O527" s="39" t="s">
        <v>1405</v>
      </c>
      <c r="P527" s="40" t="str">
        <f t="shared" si="7"/>
        <v>〇</v>
      </c>
      <c r="Q527" s="41" t="s">
        <v>45</v>
      </c>
      <c r="S527" s="33"/>
      <c r="T527" s="33"/>
    </row>
    <row r="528" hidden="1">
      <c r="A528" s="17">
        <f t="shared" si="2"/>
        <v>526</v>
      </c>
      <c r="B528" s="38" t="s">
        <v>1406</v>
      </c>
      <c r="C528" s="36"/>
      <c r="D528" s="36"/>
      <c r="E528" s="36"/>
      <c r="F528" s="17"/>
      <c r="G528" s="17" t="s">
        <v>8</v>
      </c>
      <c r="H528" s="38"/>
      <c r="I528" s="46" t="s">
        <v>1407</v>
      </c>
      <c r="J528" s="17"/>
      <c r="K528" s="38"/>
      <c r="L528" s="38"/>
      <c r="M528" s="38"/>
      <c r="N528" s="44" t="s">
        <v>23</v>
      </c>
      <c r="O528" s="39"/>
      <c r="P528" s="40" t="str">
        <f t="shared" si="7"/>
        <v>×</v>
      </c>
      <c r="Q528" s="33" t="s">
        <v>59</v>
      </c>
      <c r="S528" s="33"/>
      <c r="T528" s="33"/>
    </row>
    <row r="529" ht="15.75" customHeight="1">
      <c r="B529" s="3"/>
      <c r="C529" s="5"/>
      <c r="D529" s="5"/>
      <c r="E529" s="5"/>
      <c r="H529" s="8"/>
      <c r="I529" s="8"/>
      <c r="K529" s="8"/>
      <c r="L529" s="9"/>
      <c r="M529" s="11"/>
      <c r="O529" s="13"/>
      <c r="P529" s="41"/>
      <c r="S529" s="101"/>
      <c r="T529" s="74"/>
    </row>
    <row r="530" ht="15.75" customHeight="1">
      <c r="B530" s="3"/>
      <c r="C530" s="5"/>
      <c r="D530" s="5"/>
      <c r="E530" s="5"/>
      <c r="H530" s="8"/>
      <c r="I530" s="8"/>
      <c r="K530" s="8"/>
      <c r="L530" s="9"/>
      <c r="O530" s="13"/>
      <c r="P530" s="33"/>
      <c r="S530" s="101"/>
      <c r="T530" s="74"/>
      <c r="U530" s="1"/>
    </row>
    <row r="531" ht="15.75" customHeight="1">
      <c r="B531" s="3"/>
      <c r="C531" s="5"/>
      <c r="D531" s="5"/>
      <c r="E531" s="5"/>
      <c r="H531" s="8"/>
      <c r="I531" s="8"/>
      <c r="K531" s="8"/>
      <c r="L531" s="9"/>
      <c r="O531" s="13"/>
      <c r="P531" s="33"/>
      <c r="S531" s="101"/>
      <c r="T531" s="74"/>
    </row>
    <row r="532" ht="18.75" customHeight="1">
      <c r="B532" s="3"/>
      <c r="C532" s="5"/>
      <c r="D532" s="5"/>
      <c r="E532" s="5"/>
      <c r="H532" s="8"/>
      <c r="I532" s="8"/>
      <c r="K532" s="8"/>
      <c r="L532" s="9"/>
      <c r="O532" s="13"/>
      <c r="P532" s="33"/>
      <c r="S532" s="33"/>
      <c r="T532" s="33"/>
    </row>
    <row r="533" ht="18.75" customHeight="1">
      <c r="B533" s="3"/>
      <c r="C533" s="5"/>
      <c r="D533" s="5"/>
      <c r="E533" s="5"/>
      <c r="H533" s="8"/>
      <c r="I533" s="8"/>
      <c r="K533" s="8"/>
      <c r="L533" s="9"/>
      <c r="O533" s="13"/>
      <c r="P533" s="33"/>
      <c r="S533" s="33"/>
      <c r="T533" s="33"/>
    </row>
    <row r="534" ht="18.75" customHeight="1">
      <c r="B534" s="3"/>
      <c r="C534" s="5"/>
      <c r="D534" s="5"/>
      <c r="E534" s="5"/>
      <c r="H534" s="8"/>
      <c r="I534" s="8"/>
      <c r="K534" s="8"/>
      <c r="L534" s="9"/>
      <c r="O534" s="13"/>
      <c r="P534" s="33"/>
      <c r="S534" s="33"/>
      <c r="T534" s="33"/>
    </row>
    <row r="535" ht="18.75" customHeight="1">
      <c r="B535" s="3"/>
      <c r="C535" s="5"/>
      <c r="D535" s="5"/>
      <c r="E535" s="5"/>
      <c r="H535" s="8"/>
      <c r="I535" s="8"/>
      <c r="K535" s="8"/>
      <c r="L535" s="9"/>
      <c r="O535" s="13"/>
      <c r="P535" s="33"/>
      <c r="S535" s="33"/>
      <c r="T535" s="33"/>
    </row>
    <row r="536" ht="18.75" customHeight="1">
      <c r="B536" s="3"/>
      <c r="C536" s="5"/>
      <c r="D536" s="5"/>
      <c r="E536" s="5"/>
      <c r="H536" s="8"/>
      <c r="I536" s="8"/>
      <c r="K536" s="8"/>
      <c r="L536" s="9"/>
      <c r="O536" s="13"/>
      <c r="P536" s="33"/>
      <c r="S536" s="33"/>
      <c r="T536" s="33"/>
    </row>
    <row r="537" ht="18.75" customHeight="1">
      <c r="B537" s="3"/>
      <c r="C537" s="5"/>
      <c r="D537" s="5"/>
      <c r="E537" s="5"/>
      <c r="H537" s="8"/>
      <c r="I537" s="8"/>
      <c r="K537" s="8"/>
      <c r="L537" s="9"/>
      <c r="O537" s="13"/>
      <c r="P537" s="33"/>
      <c r="S537" s="33"/>
      <c r="T537" s="33"/>
    </row>
    <row r="538" ht="18.75" customHeight="1">
      <c r="B538" s="3"/>
      <c r="C538" s="5"/>
      <c r="D538" s="5"/>
      <c r="E538" s="5"/>
      <c r="H538" s="8"/>
      <c r="I538" s="8"/>
      <c r="K538" s="8"/>
      <c r="L538" s="9"/>
      <c r="O538" s="13"/>
      <c r="P538" s="33"/>
      <c r="S538" s="33"/>
      <c r="T538" s="33"/>
    </row>
    <row r="539" ht="18.75" customHeight="1">
      <c r="B539" s="3"/>
      <c r="C539" s="5"/>
      <c r="D539" s="5"/>
      <c r="E539" s="5"/>
      <c r="H539" s="8"/>
      <c r="I539" s="8"/>
      <c r="K539" s="8"/>
      <c r="L539" s="9"/>
      <c r="O539" s="13"/>
      <c r="P539" s="33"/>
      <c r="S539" s="33"/>
      <c r="T539" s="33"/>
    </row>
    <row r="540" ht="18.75" customHeight="1">
      <c r="B540" s="3"/>
      <c r="C540" s="5"/>
      <c r="D540" s="5"/>
      <c r="E540" s="5"/>
      <c r="H540" s="8"/>
      <c r="I540" s="8"/>
      <c r="K540" s="8"/>
      <c r="L540" s="9"/>
      <c r="O540" s="13"/>
      <c r="P540" s="33"/>
      <c r="S540" s="33"/>
      <c r="T540" s="33"/>
    </row>
    <row r="541" ht="18.75" customHeight="1">
      <c r="B541" s="3"/>
      <c r="C541" s="5"/>
      <c r="D541" s="5"/>
      <c r="E541" s="5"/>
      <c r="H541" s="8"/>
      <c r="I541" s="8"/>
      <c r="K541" s="8"/>
      <c r="L541" s="9"/>
      <c r="O541" s="13"/>
      <c r="P541" s="33"/>
      <c r="S541" s="33"/>
      <c r="T541" s="33"/>
    </row>
    <row r="542" ht="18.75" customHeight="1">
      <c r="B542" s="3"/>
      <c r="C542" s="5"/>
      <c r="D542" s="5"/>
      <c r="E542" s="5"/>
      <c r="H542" s="8"/>
      <c r="I542" s="8"/>
      <c r="K542" s="8"/>
      <c r="L542" s="9"/>
      <c r="O542" s="13"/>
      <c r="P542" s="33"/>
      <c r="S542" s="33"/>
      <c r="T542" s="33"/>
    </row>
    <row r="543" ht="18.75" customHeight="1">
      <c r="B543" s="3"/>
      <c r="C543" s="5"/>
      <c r="D543" s="5"/>
      <c r="E543" s="5"/>
      <c r="H543" s="8"/>
      <c r="I543" s="8"/>
      <c r="K543" s="8"/>
      <c r="L543" s="9"/>
      <c r="O543" s="13"/>
      <c r="P543" s="33"/>
      <c r="S543" s="33"/>
      <c r="T543" s="33"/>
    </row>
    <row r="544" ht="18.75" customHeight="1">
      <c r="B544" s="3"/>
      <c r="C544" s="5"/>
      <c r="D544" s="5"/>
      <c r="E544" s="5"/>
      <c r="H544" s="8"/>
      <c r="I544" s="8"/>
      <c r="K544" s="8"/>
      <c r="L544" s="9"/>
      <c r="O544" s="13"/>
      <c r="P544" s="33"/>
      <c r="S544" s="33"/>
      <c r="T544" s="33"/>
    </row>
    <row r="545" ht="18.75" customHeight="1">
      <c r="B545" s="3"/>
      <c r="C545" s="5"/>
      <c r="D545" s="5"/>
      <c r="E545" s="5"/>
      <c r="H545" s="8"/>
      <c r="I545" s="8"/>
      <c r="K545" s="8"/>
      <c r="L545" s="9"/>
      <c r="O545" s="13"/>
      <c r="P545" s="33"/>
      <c r="S545" s="33"/>
      <c r="T545" s="33"/>
    </row>
    <row r="546" ht="18.75" customHeight="1">
      <c r="B546" s="3"/>
      <c r="C546" s="5"/>
      <c r="D546" s="5"/>
      <c r="E546" s="5"/>
      <c r="H546" s="8"/>
      <c r="I546" s="8"/>
      <c r="K546" s="8"/>
      <c r="L546" s="9"/>
      <c r="O546" s="13"/>
      <c r="P546" s="33"/>
      <c r="S546" s="33"/>
      <c r="T546" s="33"/>
    </row>
    <row r="547" ht="18.75" customHeight="1">
      <c r="B547" s="3"/>
      <c r="C547" s="5"/>
      <c r="D547" s="5"/>
      <c r="E547" s="5"/>
      <c r="H547" s="8"/>
      <c r="I547" s="8"/>
      <c r="K547" s="8"/>
      <c r="L547" s="9"/>
      <c r="O547" s="13"/>
      <c r="P547" s="33"/>
      <c r="S547" s="33"/>
      <c r="T547" s="33"/>
    </row>
    <row r="548" ht="18.75" customHeight="1">
      <c r="B548" s="3"/>
      <c r="C548" s="5"/>
      <c r="D548" s="5"/>
      <c r="E548" s="5"/>
      <c r="H548" s="8"/>
      <c r="I548" s="8"/>
      <c r="K548" s="8"/>
      <c r="L548" s="9"/>
      <c r="O548" s="13"/>
      <c r="P548" s="33"/>
      <c r="S548" s="33"/>
      <c r="T548" s="33"/>
    </row>
    <row r="549" ht="18.75" customHeight="1">
      <c r="B549" s="3"/>
      <c r="C549" s="5"/>
      <c r="D549" s="5"/>
      <c r="E549" s="5"/>
      <c r="H549" s="8"/>
      <c r="I549" s="8"/>
      <c r="K549" s="8"/>
      <c r="L549" s="9"/>
      <c r="O549" s="13"/>
      <c r="P549" s="33"/>
      <c r="S549" s="33"/>
      <c r="T549" s="33"/>
    </row>
    <row r="550" ht="18.75" customHeight="1">
      <c r="B550" s="3"/>
      <c r="C550" s="5"/>
      <c r="D550" s="5"/>
      <c r="E550" s="5"/>
      <c r="H550" s="8"/>
      <c r="I550" s="8"/>
      <c r="K550" s="8"/>
      <c r="L550" s="9"/>
      <c r="O550" s="13"/>
      <c r="P550" s="33"/>
      <c r="S550" s="33"/>
      <c r="T550" s="33"/>
    </row>
    <row r="551" ht="18.75" customHeight="1">
      <c r="B551" s="3"/>
      <c r="C551" s="5"/>
      <c r="D551" s="5"/>
      <c r="E551" s="5"/>
      <c r="H551" s="8"/>
      <c r="I551" s="8"/>
      <c r="K551" s="8"/>
      <c r="L551" s="9"/>
      <c r="O551" s="13"/>
      <c r="P551" s="33"/>
      <c r="S551" s="33"/>
      <c r="T551" s="33"/>
    </row>
    <row r="552" ht="18.75" customHeight="1">
      <c r="B552" s="3"/>
      <c r="C552" s="5"/>
      <c r="D552" s="5"/>
      <c r="E552" s="5"/>
      <c r="H552" s="8"/>
      <c r="I552" s="8"/>
      <c r="K552" s="8"/>
      <c r="L552" s="9"/>
      <c r="O552" s="13"/>
      <c r="P552" s="33"/>
      <c r="S552" s="33"/>
      <c r="T552" s="33"/>
    </row>
    <row r="553" ht="18.75" customHeight="1">
      <c r="B553" s="3"/>
      <c r="C553" s="5"/>
      <c r="D553" s="5"/>
      <c r="E553" s="5"/>
      <c r="H553" s="8"/>
      <c r="I553" s="8"/>
      <c r="K553" s="8"/>
      <c r="L553" s="9"/>
      <c r="O553" s="13"/>
      <c r="P553" s="33"/>
      <c r="S553" s="33"/>
      <c r="T553" s="33"/>
    </row>
    <row r="554" ht="18.75" customHeight="1">
      <c r="B554" s="3"/>
      <c r="C554" s="5"/>
      <c r="D554" s="5"/>
      <c r="E554" s="5"/>
      <c r="H554" s="8"/>
      <c r="I554" s="8"/>
      <c r="K554" s="8"/>
      <c r="L554" s="9"/>
      <c r="O554" s="13"/>
      <c r="P554" s="33"/>
      <c r="S554" s="33"/>
      <c r="T554" s="33"/>
    </row>
    <row r="555" ht="18.75" customHeight="1">
      <c r="B555" s="3"/>
      <c r="C555" s="5"/>
      <c r="D555" s="5"/>
      <c r="E555" s="5"/>
      <c r="H555" s="8"/>
      <c r="I555" s="8"/>
      <c r="K555" s="8"/>
      <c r="L555" s="9"/>
      <c r="O555" s="13"/>
      <c r="P555" s="33"/>
      <c r="S555" s="33"/>
      <c r="T555" s="33"/>
    </row>
    <row r="556" ht="18.75" customHeight="1">
      <c r="B556" s="3"/>
      <c r="C556" s="5"/>
      <c r="D556" s="5"/>
      <c r="E556" s="5"/>
      <c r="H556" s="8"/>
      <c r="I556" s="8"/>
      <c r="K556" s="8"/>
      <c r="L556" s="9"/>
      <c r="O556" s="13"/>
      <c r="P556" s="33"/>
      <c r="S556" s="33"/>
      <c r="T556" s="33"/>
    </row>
    <row r="557" ht="18.75" customHeight="1">
      <c r="B557" s="3"/>
      <c r="C557" s="5"/>
      <c r="D557" s="5"/>
      <c r="E557" s="5"/>
      <c r="H557" s="8"/>
      <c r="I557" s="8"/>
      <c r="K557" s="8"/>
      <c r="L557" s="9"/>
      <c r="O557" s="13"/>
      <c r="P557" s="33"/>
      <c r="S557" s="33"/>
      <c r="T557" s="33"/>
    </row>
    <row r="558" ht="18.75" customHeight="1">
      <c r="B558" s="3"/>
      <c r="C558" s="5"/>
      <c r="D558" s="5"/>
      <c r="E558" s="5"/>
      <c r="H558" s="8"/>
      <c r="I558" s="8"/>
      <c r="K558" s="8"/>
      <c r="L558" s="9"/>
      <c r="O558" s="13"/>
      <c r="P558" s="33"/>
      <c r="S558" s="33"/>
      <c r="T558" s="33"/>
    </row>
    <row r="559" ht="18.75" customHeight="1">
      <c r="B559" s="3"/>
      <c r="C559" s="5"/>
      <c r="D559" s="5"/>
      <c r="E559" s="5"/>
      <c r="H559" s="8"/>
      <c r="I559" s="8"/>
      <c r="K559" s="8"/>
      <c r="L559" s="9"/>
      <c r="O559" s="13"/>
      <c r="P559" s="33"/>
      <c r="S559" s="33"/>
      <c r="T559" s="33"/>
    </row>
    <row r="560" ht="18.75" customHeight="1">
      <c r="B560" s="3"/>
      <c r="C560" s="5"/>
      <c r="D560" s="5"/>
      <c r="E560" s="5"/>
      <c r="H560" s="8"/>
      <c r="I560" s="8"/>
      <c r="K560" s="8"/>
      <c r="L560" s="9"/>
      <c r="O560" s="13"/>
      <c r="P560" s="33"/>
      <c r="S560" s="33"/>
      <c r="T560" s="33"/>
    </row>
    <row r="561" ht="18.75" customHeight="1">
      <c r="B561" s="3"/>
      <c r="C561" s="5"/>
      <c r="D561" s="5"/>
      <c r="E561" s="5"/>
      <c r="H561" s="8"/>
      <c r="I561" s="8"/>
      <c r="K561" s="8"/>
      <c r="L561" s="9"/>
      <c r="O561" s="13"/>
      <c r="P561" s="33"/>
      <c r="S561" s="33"/>
      <c r="T561" s="33"/>
    </row>
    <row r="562" ht="18.75" customHeight="1">
      <c r="B562" s="3"/>
      <c r="C562" s="5"/>
      <c r="D562" s="5"/>
      <c r="E562" s="5"/>
      <c r="H562" s="8"/>
      <c r="I562" s="8"/>
      <c r="K562" s="8"/>
      <c r="L562" s="9"/>
      <c r="O562" s="13"/>
      <c r="P562" s="33"/>
      <c r="S562" s="33"/>
      <c r="T562" s="33"/>
    </row>
    <row r="563" ht="18.75" customHeight="1">
      <c r="B563" s="3"/>
      <c r="C563" s="5"/>
      <c r="D563" s="5"/>
      <c r="E563" s="5"/>
      <c r="H563" s="8"/>
      <c r="I563" s="8"/>
      <c r="K563" s="8"/>
      <c r="L563" s="9"/>
      <c r="O563" s="13"/>
      <c r="P563" s="33"/>
      <c r="S563" s="33"/>
      <c r="T563" s="33"/>
    </row>
    <row r="564" ht="18.75" customHeight="1">
      <c r="B564" s="3"/>
      <c r="C564" s="5"/>
      <c r="D564" s="5"/>
      <c r="E564" s="5"/>
      <c r="H564" s="8"/>
      <c r="I564" s="8"/>
      <c r="K564" s="8"/>
      <c r="L564" s="9"/>
      <c r="O564" s="13"/>
      <c r="P564" s="33"/>
      <c r="S564" s="33"/>
      <c r="T564" s="33"/>
    </row>
    <row r="565" ht="18.75" customHeight="1">
      <c r="B565" s="3"/>
      <c r="C565" s="5"/>
      <c r="D565" s="5"/>
      <c r="E565" s="5"/>
      <c r="H565" s="8"/>
      <c r="I565" s="8"/>
      <c r="K565" s="8"/>
      <c r="L565" s="9"/>
      <c r="O565" s="13"/>
      <c r="P565" s="33"/>
      <c r="S565" s="33"/>
      <c r="T565" s="33"/>
    </row>
    <row r="566" ht="18.75" customHeight="1">
      <c r="B566" s="3"/>
      <c r="C566" s="5"/>
      <c r="D566" s="5"/>
      <c r="E566" s="5"/>
      <c r="H566" s="8"/>
      <c r="I566" s="8"/>
      <c r="K566" s="8"/>
      <c r="L566" s="9"/>
      <c r="O566" s="13"/>
      <c r="P566" s="33"/>
      <c r="S566" s="33"/>
      <c r="T566" s="33"/>
    </row>
    <row r="567" ht="18.75" customHeight="1">
      <c r="B567" s="3"/>
      <c r="C567" s="5"/>
      <c r="D567" s="5"/>
      <c r="E567" s="5"/>
      <c r="H567" s="8"/>
      <c r="I567" s="8"/>
      <c r="K567" s="8"/>
      <c r="L567" s="9"/>
      <c r="O567" s="13"/>
      <c r="P567" s="33"/>
      <c r="S567" s="33"/>
      <c r="T567" s="33"/>
    </row>
    <row r="568" ht="18.75" customHeight="1">
      <c r="B568" s="3"/>
      <c r="C568" s="5"/>
      <c r="D568" s="5"/>
      <c r="E568" s="5"/>
      <c r="H568" s="8"/>
      <c r="I568" s="8"/>
      <c r="K568" s="8"/>
      <c r="L568" s="9"/>
      <c r="O568" s="13"/>
      <c r="P568" s="33"/>
      <c r="S568" s="33"/>
      <c r="T568" s="33"/>
    </row>
    <row r="569" ht="18.75" customHeight="1">
      <c r="B569" s="3"/>
      <c r="C569" s="5"/>
      <c r="D569" s="5"/>
      <c r="E569" s="5"/>
      <c r="H569" s="8"/>
      <c r="I569" s="8"/>
      <c r="K569" s="8"/>
      <c r="L569" s="9"/>
      <c r="O569" s="13"/>
      <c r="P569" s="33"/>
      <c r="S569" s="33"/>
      <c r="T569" s="33"/>
    </row>
    <row r="570" ht="18.75" customHeight="1">
      <c r="B570" s="3"/>
      <c r="C570" s="5"/>
      <c r="D570" s="5"/>
      <c r="E570" s="5"/>
      <c r="H570" s="8"/>
      <c r="I570" s="8"/>
      <c r="K570" s="8"/>
      <c r="L570" s="9"/>
      <c r="O570" s="13"/>
      <c r="P570" s="33"/>
      <c r="S570" s="33"/>
      <c r="T570" s="33"/>
    </row>
    <row r="571" ht="18.75" customHeight="1">
      <c r="B571" s="3"/>
      <c r="C571" s="5"/>
      <c r="D571" s="5"/>
      <c r="E571" s="5"/>
      <c r="H571" s="8"/>
      <c r="I571" s="8"/>
      <c r="K571" s="8"/>
      <c r="L571" s="9"/>
      <c r="O571" s="13"/>
      <c r="P571" s="33"/>
      <c r="S571" s="33"/>
      <c r="T571" s="33"/>
    </row>
    <row r="572" ht="18.75" customHeight="1">
      <c r="B572" s="3"/>
      <c r="C572" s="5"/>
      <c r="D572" s="5"/>
      <c r="E572" s="5"/>
      <c r="H572" s="8"/>
      <c r="I572" s="8"/>
      <c r="K572" s="8"/>
      <c r="L572" s="9"/>
      <c r="O572" s="13"/>
      <c r="P572" s="33"/>
      <c r="S572" s="33"/>
      <c r="T572" s="33"/>
    </row>
    <row r="573" ht="18.75" customHeight="1">
      <c r="B573" s="3"/>
      <c r="C573" s="5"/>
      <c r="D573" s="5"/>
      <c r="E573" s="5"/>
      <c r="H573" s="8"/>
      <c r="I573" s="8"/>
      <c r="K573" s="8"/>
      <c r="L573" s="9"/>
      <c r="O573" s="13"/>
      <c r="P573" s="33"/>
      <c r="S573" s="33"/>
      <c r="T573" s="33"/>
    </row>
    <row r="574" ht="18.75" customHeight="1">
      <c r="B574" s="3"/>
      <c r="C574" s="5"/>
      <c r="D574" s="5"/>
      <c r="E574" s="5"/>
      <c r="H574" s="8"/>
      <c r="I574" s="8"/>
      <c r="K574" s="8"/>
      <c r="L574" s="9"/>
      <c r="O574" s="13"/>
      <c r="P574" s="33"/>
      <c r="S574" s="33"/>
      <c r="T574" s="33"/>
    </row>
    <row r="575" ht="18.75" customHeight="1">
      <c r="B575" s="3"/>
      <c r="C575" s="5"/>
      <c r="D575" s="5"/>
      <c r="E575" s="5"/>
      <c r="H575" s="8"/>
      <c r="I575" s="8"/>
      <c r="K575" s="8"/>
      <c r="L575" s="9"/>
      <c r="O575" s="13"/>
      <c r="P575" s="33"/>
      <c r="S575" s="33"/>
      <c r="T575" s="33"/>
    </row>
    <row r="576" ht="18.75" customHeight="1">
      <c r="B576" s="3"/>
      <c r="C576" s="5"/>
      <c r="D576" s="5"/>
      <c r="E576" s="5"/>
      <c r="H576" s="8"/>
      <c r="I576" s="8"/>
      <c r="K576" s="8"/>
      <c r="L576" s="9"/>
      <c r="O576" s="13"/>
      <c r="P576" s="33"/>
      <c r="S576" s="33"/>
      <c r="T576" s="33"/>
    </row>
    <row r="577" ht="18.75" customHeight="1">
      <c r="B577" s="3"/>
      <c r="C577" s="5"/>
      <c r="D577" s="5"/>
      <c r="E577" s="5"/>
      <c r="H577" s="8"/>
      <c r="I577" s="8"/>
      <c r="K577" s="8"/>
      <c r="L577" s="9"/>
      <c r="O577" s="13"/>
      <c r="P577" s="33"/>
      <c r="S577" s="33"/>
      <c r="T577" s="33"/>
    </row>
    <row r="578" ht="18.75" customHeight="1">
      <c r="B578" s="3"/>
      <c r="C578" s="5"/>
      <c r="D578" s="5"/>
      <c r="E578" s="5"/>
      <c r="H578" s="8"/>
      <c r="I578" s="8"/>
      <c r="K578" s="8"/>
      <c r="L578" s="9"/>
      <c r="O578" s="13"/>
      <c r="P578" s="33"/>
      <c r="S578" s="33"/>
      <c r="T578" s="33"/>
    </row>
    <row r="579" ht="18.75" customHeight="1">
      <c r="B579" s="3"/>
      <c r="C579" s="5"/>
      <c r="D579" s="5"/>
      <c r="E579" s="5"/>
      <c r="H579" s="8"/>
      <c r="I579" s="8"/>
      <c r="K579" s="8"/>
      <c r="L579" s="9"/>
      <c r="O579" s="13"/>
      <c r="P579" s="33"/>
      <c r="S579" s="33"/>
      <c r="T579" s="33"/>
    </row>
    <row r="580" ht="18.75" customHeight="1">
      <c r="B580" s="3"/>
      <c r="C580" s="5"/>
      <c r="D580" s="5"/>
      <c r="E580" s="5"/>
      <c r="H580" s="8"/>
      <c r="I580" s="8"/>
      <c r="K580" s="8"/>
      <c r="L580" s="9"/>
      <c r="O580" s="13"/>
      <c r="P580" s="33"/>
      <c r="S580" s="33"/>
      <c r="T580" s="33"/>
    </row>
    <row r="581" ht="18.75" customHeight="1">
      <c r="B581" s="3"/>
      <c r="C581" s="5"/>
      <c r="D581" s="5"/>
      <c r="E581" s="5"/>
      <c r="H581" s="8"/>
      <c r="I581" s="8"/>
      <c r="K581" s="8"/>
      <c r="L581" s="9"/>
      <c r="O581" s="13"/>
      <c r="P581" s="33"/>
      <c r="S581" s="33"/>
      <c r="T581" s="33"/>
    </row>
    <row r="582" ht="18.75" customHeight="1">
      <c r="B582" s="3"/>
      <c r="C582" s="5"/>
      <c r="D582" s="5"/>
      <c r="E582" s="5"/>
      <c r="H582" s="8"/>
      <c r="I582" s="8"/>
      <c r="K582" s="8"/>
      <c r="L582" s="9"/>
      <c r="O582" s="13"/>
      <c r="P582" s="33"/>
      <c r="S582" s="33"/>
      <c r="T582" s="33"/>
    </row>
    <row r="583" ht="18.75" customHeight="1">
      <c r="B583" s="3"/>
      <c r="C583" s="5"/>
      <c r="D583" s="5"/>
      <c r="E583" s="5"/>
      <c r="H583" s="8"/>
      <c r="I583" s="8"/>
      <c r="K583" s="8"/>
      <c r="L583" s="9"/>
      <c r="O583" s="13"/>
      <c r="P583" s="33"/>
      <c r="S583" s="33"/>
      <c r="T583" s="33"/>
    </row>
    <row r="584" ht="18.75" customHeight="1">
      <c r="B584" s="3"/>
      <c r="C584" s="5"/>
      <c r="D584" s="5"/>
      <c r="E584" s="5"/>
      <c r="H584" s="8"/>
      <c r="I584" s="8"/>
      <c r="K584" s="8"/>
      <c r="L584" s="9"/>
      <c r="O584" s="13"/>
      <c r="P584" s="33"/>
      <c r="S584" s="33"/>
      <c r="T584" s="33"/>
    </row>
    <row r="585" ht="18.75" customHeight="1">
      <c r="B585" s="3"/>
      <c r="C585" s="5"/>
      <c r="D585" s="5"/>
      <c r="E585" s="5"/>
      <c r="H585" s="8"/>
      <c r="I585" s="8"/>
      <c r="K585" s="8"/>
      <c r="L585" s="9"/>
      <c r="O585" s="13"/>
      <c r="P585" s="33"/>
      <c r="S585" s="33"/>
      <c r="T585" s="33"/>
    </row>
    <row r="586" ht="18.75" customHeight="1">
      <c r="B586" s="3"/>
      <c r="C586" s="5"/>
      <c r="D586" s="5"/>
      <c r="E586" s="5"/>
      <c r="H586" s="8"/>
      <c r="I586" s="8"/>
      <c r="K586" s="8"/>
      <c r="L586" s="9"/>
      <c r="O586" s="13"/>
      <c r="P586" s="33"/>
      <c r="S586" s="33"/>
      <c r="T586" s="33"/>
    </row>
    <row r="587" ht="18.75" customHeight="1">
      <c r="B587" s="3"/>
      <c r="C587" s="5"/>
      <c r="D587" s="5"/>
      <c r="E587" s="5"/>
      <c r="H587" s="8"/>
      <c r="I587" s="8"/>
      <c r="K587" s="8"/>
      <c r="L587" s="9"/>
      <c r="O587" s="13"/>
      <c r="P587" s="33"/>
      <c r="S587" s="33"/>
      <c r="T587" s="33"/>
    </row>
    <row r="588" ht="18.75" customHeight="1">
      <c r="B588" s="3"/>
      <c r="C588" s="5"/>
      <c r="D588" s="5"/>
      <c r="E588" s="5"/>
      <c r="H588" s="8"/>
      <c r="I588" s="8"/>
      <c r="K588" s="8"/>
      <c r="L588" s="9"/>
      <c r="O588" s="13"/>
      <c r="P588" s="33"/>
      <c r="S588" s="33"/>
      <c r="T588" s="33"/>
    </row>
    <row r="589" ht="18.75" customHeight="1">
      <c r="B589" s="3"/>
      <c r="C589" s="5"/>
      <c r="D589" s="5"/>
      <c r="E589" s="5"/>
      <c r="H589" s="8"/>
      <c r="I589" s="8"/>
      <c r="K589" s="8"/>
      <c r="L589" s="9"/>
      <c r="O589" s="13"/>
      <c r="P589" s="33"/>
      <c r="S589" s="33"/>
      <c r="T589" s="33"/>
    </row>
    <row r="590" ht="18.75" customHeight="1">
      <c r="B590" s="3"/>
      <c r="C590" s="5"/>
      <c r="D590" s="5"/>
      <c r="E590" s="5"/>
      <c r="H590" s="8"/>
      <c r="I590" s="8"/>
      <c r="K590" s="8"/>
      <c r="L590" s="9"/>
      <c r="O590" s="13"/>
      <c r="P590" s="33"/>
      <c r="S590" s="33"/>
      <c r="T590" s="33"/>
    </row>
    <row r="591" ht="18.75" customHeight="1">
      <c r="B591" s="3"/>
      <c r="C591" s="5"/>
      <c r="D591" s="5"/>
      <c r="E591" s="5"/>
      <c r="H591" s="8"/>
      <c r="I591" s="8"/>
      <c r="K591" s="8"/>
      <c r="L591" s="9"/>
      <c r="O591" s="13"/>
      <c r="P591" s="33"/>
      <c r="S591" s="33"/>
      <c r="T591" s="33"/>
    </row>
    <row r="592" ht="18.75" customHeight="1">
      <c r="B592" s="3"/>
      <c r="C592" s="5"/>
      <c r="D592" s="5"/>
      <c r="E592" s="5"/>
      <c r="H592" s="8"/>
      <c r="I592" s="8"/>
      <c r="K592" s="8"/>
      <c r="L592" s="9"/>
      <c r="O592" s="13"/>
      <c r="P592" s="33"/>
      <c r="S592" s="33"/>
      <c r="T592" s="33"/>
    </row>
    <row r="593" ht="18.75" customHeight="1">
      <c r="B593" s="3"/>
      <c r="C593" s="5"/>
      <c r="D593" s="5"/>
      <c r="E593" s="5"/>
      <c r="H593" s="8"/>
      <c r="I593" s="8"/>
      <c r="K593" s="8"/>
      <c r="L593" s="9"/>
      <c r="O593" s="13"/>
      <c r="P593" s="33"/>
      <c r="S593" s="33"/>
      <c r="T593" s="33"/>
    </row>
    <row r="594" ht="18.75" customHeight="1">
      <c r="B594" s="3"/>
      <c r="C594" s="5"/>
      <c r="D594" s="5"/>
      <c r="E594" s="5"/>
      <c r="H594" s="8"/>
      <c r="I594" s="8"/>
      <c r="K594" s="8"/>
      <c r="L594" s="9"/>
      <c r="O594" s="13"/>
      <c r="P594" s="33"/>
      <c r="S594" s="33"/>
      <c r="T594" s="33"/>
    </row>
    <row r="595" ht="18.75" customHeight="1">
      <c r="B595" s="3"/>
      <c r="C595" s="5"/>
      <c r="D595" s="5"/>
      <c r="E595" s="5"/>
      <c r="H595" s="8"/>
      <c r="I595" s="8"/>
      <c r="K595" s="8"/>
      <c r="L595" s="9"/>
      <c r="O595" s="13"/>
      <c r="P595" s="33"/>
      <c r="S595" s="33"/>
      <c r="T595" s="33"/>
    </row>
    <row r="596" ht="18.75" customHeight="1">
      <c r="B596" s="3"/>
      <c r="C596" s="5"/>
      <c r="D596" s="5"/>
      <c r="E596" s="5"/>
      <c r="H596" s="8"/>
      <c r="I596" s="8"/>
      <c r="K596" s="8"/>
      <c r="L596" s="9"/>
      <c r="O596" s="13"/>
      <c r="P596" s="33"/>
      <c r="S596" s="33"/>
      <c r="T596" s="33"/>
    </row>
    <row r="597" ht="18.75" customHeight="1">
      <c r="B597" s="3"/>
      <c r="C597" s="5"/>
      <c r="D597" s="5"/>
      <c r="E597" s="5"/>
      <c r="H597" s="8"/>
      <c r="I597" s="8"/>
      <c r="K597" s="8"/>
      <c r="L597" s="9"/>
      <c r="O597" s="13"/>
      <c r="P597" s="33"/>
      <c r="S597" s="33"/>
      <c r="T597" s="33"/>
    </row>
    <row r="598" ht="18.75" customHeight="1">
      <c r="B598" s="3"/>
      <c r="C598" s="5"/>
      <c r="D598" s="5"/>
      <c r="E598" s="5"/>
      <c r="H598" s="8"/>
      <c r="I598" s="8"/>
      <c r="K598" s="8"/>
      <c r="L598" s="9"/>
      <c r="O598" s="13"/>
      <c r="P598" s="33"/>
      <c r="S598" s="33"/>
      <c r="T598" s="33"/>
    </row>
    <row r="599" ht="18.75" customHeight="1">
      <c r="B599" s="3"/>
      <c r="C599" s="5"/>
      <c r="D599" s="5"/>
      <c r="E599" s="5"/>
      <c r="H599" s="8"/>
      <c r="I599" s="8"/>
      <c r="K599" s="8"/>
      <c r="L599" s="9"/>
      <c r="O599" s="13"/>
      <c r="P599" s="33"/>
      <c r="S599" s="33"/>
      <c r="T599" s="33"/>
    </row>
    <row r="600" ht="18.75" customHeight="1">
      <c r="B600" s="3"/>
      <c r="C600" s="5"/>
      <c r="D600" s="5"/>
      <c r="E600" s="5"/>
      <c r="H600" s="8"/>
      <c r="I600" s="8"/>
      <c r="K600" s="8"/>
      <c r="L600" s="9"/>
      <c r="O600" s="13"/>
      <c r="P600" s="33"/>
      <c r="S600" s="33"/>
      <c r="T600" s="33"/>
    </row>
    <row r="601" ht="18.75" customHeight="1">
      <c r="B601" s="3"/>
      <c r="C601" s="5"/>
      <c r="D601" s="5"/>
      <c r="E601" s="5"/>
      <c r="H601" s="8"/>
      <c r="I601" s="8"/>
      <c r="K601" s="8"/>
      <c r="L601" s="9"/>
      <c r="O601" s="13"/>
      <c r="P601" s="33"/>
      <c r="S601" s="33"/>
      <c r="T601" s="33"/>
    </row>
    <row r="602" ht="18.75" customHeight="1">
      <c r="B602" s="3"/>
      <c r="C602" s="5"/>
      <c r="D602" s="5"/>
      <c r="E602" s="5"/>
      <c r="H602" s="8"/>
      <c r="I602" s="8"/>
      <c r="K602" s="8"/>
      <c r="L602" s="9"/>
      <c r="O602" s="13"/>
      <c r="P602" s="33"/>
      <c r="S602" s="33"/>
      <c r="T602" s="33"/>
    </row>
    <row r="603" ht="18.75" customHeight="1">
      <c r="B603" s="3"/>
      <c r="C603" s="5"/>
      <c r="D603" s="5"/>
      <c r="E603" s="5"/>
      <c r="H603" s="8"/>
      <c r="I603" s="8"/>
      <c r="K603" s="8"/>
      <c r="L603" s="9"/>
      <c r="O603" s="13"/>
      <c r="P603" s="33"/>
      <c r="S603" s="33"/>
      <c r="T603" s="33"/>
    </row>
    <row r="604" ht="18.75" customHeight="1">
      <c r="B604" s="3"/>
      <c r="C604" s="5"/>
      <c r="D604" s="5"/>
      <c r="E604" s="5"/>
      <c r="H604" s="8"/>
      <c r="I604" s="8"/>
      <c r="K604" s="8"/>
      <c r="L604" s="9"/>
      <c r="O604" s="13"/>
      <c r="P604" s="33"/>
      <c r="S604" s="33"/>
      <c r="T604" s="33"/>
    </row>
    <row r="605" ht="18.75" customHeight="1">
      <c r="B605" s="3"/>
      <c r="C605" s="5"/>
      <c r="D605" s="5"/>
      <c r="E605" s="5"/>
      <c r="H605" s="8"/>
      <c r="I605" s="8"/>
      <c r="K605" s="8"/>
      <c r="L605" s="9"/>
      <c r="O605" s="13"/>
      <c r="P605" s="33"/>
      <c r="S605" s="33"/>
      <c r="T605" s="33"/>
    </row>
    <row r="606" ht="18.75" customHeight="1">
      <c r="B606" s="3"/>
      <c r="C606" s="5"/>
      <c r="D606" s="5"/>
      <c r="E606" s="5"/>
      <c r="H606" s="8"/>
      <c r="I606" s="8"/>
      <c r="K606" s="8"/>
      <c r="L606" s="9"/>
      <c r="O606" s="13"/>
      <c r="P606" s="33"/>
      <c r="S606" s="33"/>
      <c r="T606" s="33"/>
    </row>
    <row r="607" ht="18.75" customHeight="1">
      <c r="B607" s="3"/>
      <c r="C607" s="5"/>
      <c r="D607" s="5"/>
      <c r="E607" s="5"/>
      <c r="H607" s="8"/>
      <c r="I607" s="8"/>
      <c r="K607" s="8"/>
      <c r="L607" s="9"/>
      <c r="O607" s="13"/>
      <c r="P607" s="33"/>
      <c r="S607" s="33"/>
      <c r="T607" s="33"/>
    </row>
    <row r="608" ht="18.75" customHeight="1">
      <c r="B608" s="3"/>
      <c r="C608" s="5"/>
      <c r="D608" s="5"/>
      <c r="E608" s="5"/>
      <c r="H608" s="8"/>
      <c r="I608" s="8"/>
      <c r="K608" s="8"/>
      <c r="L608" s="9"/>
      <c r="O608" s="13"/>
      <c r="P608" s="33"/>
      <c r="S608" s="33"/>
      <c r="T608" s="33"/>
    </row>
    <row r="609" ht="18.75" customHeight="1">
      <c r="B609" s="3"/>
      <c r="C609" s="5"/>
      <c r="D609" s="5"/>
      <c r="E609" s="5"/>
      <c r="H609" s="8"/>
      <c r="I609" s="8"/>
      <c r="K609" s="8"/>
      <c r="L609" s="9"/>
      <c r="O609" s="13"/>
      <c r="P609" s="33"/>
      <c r="S609" s="33"/>
      <c r="T609" s="33"/>
    </row>
    <row r="610" ht="18.75" customHeight="1">
      <c r="B610" s="3"/>
      <c r="C610" s="5"/>
      <c r="D610" s="5"/>
      <c r="E610" s="5"/>
      <c r="H610" s="8"/>
      <c r="I610" s="8"/>
      <c r="K610" s="8"/>
      <c r="L610" s="9"/>
      <c r="O610" s="13"/>
      <c r="P610" s="33"/>
      <c r="S610" s="33"/>
      <c r="T610" s="33"/>
    </row>
    <row r="611" ht="18.75" customHeight="1">
      <c r="B611" s="3"/>
      <c r="C611" s="5"/>
      <c r="D611" s="5"/>
      <c r="E611" s="5"/>
      <c r="H611" s="8"/>
      <c r="I611" s="8"/>
      <c r="K611" s="8"/>
      <c r="L611" s="9"/>
      <c r="O611" s="13"/>
      <c r="P611" s="33"/>
      <c r="S611" s="33"/>
      <c r="T611" s="33"/>
    </row>
    <row r="612" ht="18.75" customHeight="1">
      <c r="B612" s="3"/>
      <c r="C612" s="5"/>
      <c r="D612" s="5"/>
      <c r="E612" s="5"/>
      <c r="H612" s="8"/>
      <c r="I612" s="8"/>
      <c r="K612" s="8"/>
      <c r="L612" s="9"/>
      <c r="O612" s="13"/>
      <c r="P612" s="33"/>
      <c r="S612" s="33"/>
      <c r="T612" s="33"/>
    </row>
    <row r="613" ht="18.75" customHeight="1">
      <c r="B613" s="3"/>
      <c r="C613" s="5"/>
      <c r="D613" s="5"/>
      <c r="E613" s="5"/>
      <c r="H613" s="8"/>
      <c r="I613" s="8"/>
      <c r="K613" s="8"/>
      <c r="L613" s="9"/>
      <c r="O613" s="13"/>
      <c r="P613" s="33"/>
      <c r="S613" s="33"/>
      <c r="T613" s="33"/>
    </row>
    <row r="614" ht="18.75" customHeight="1">
      <c r="B614" s="3"/>
      <c r="C614" s="5"/>
      <c r="D614" s="5"/>
      <c r="E614" s="5"/>
      <c r="H614" s="8"/>
      <c r="I614" s="8"/>
      <c r="K614" s="8"/>
      <c r="L614" s="9"/>
      <c r="O614" s="13"/>
      <c r="P614" s="33"/>
      <c r="S614" s="33"/>
      <c r="T614" s="33"/>
    </row>
    <row r="615" ht="18.75" customHeight="1">
      <c r="B615" s="3"/>
      <c r="C615" s="5"/>
      <c r="D615" s="5"/>
      <c r="E615" s="5"/>
      <c r="H615" s="8"/>
      <c r="I615" s="8"/>
      <c r="K615" s="8"/>
      <c r="L615" s="9"/>
      <c r="O615" s="13"/>
      <c r="P615" s="33"/>
      <c r="S615" s="33"/>
      <c r="T615" s="33"/>
    </row>
    <row r="616" ht="18.75" customHeight="1">
      <c r="B616" s="3"/>
      <c r="C616" s="5"/>
      <c r="D616" s="5"/>
      <c r="E616" s="5"/>
      <c r="H616" s="8"/>
      <c r="I616" s="8"/>
      <c r="K616" s="8"/>
      <c r="L616" s="9"/>
      <c r="O616" s="13"/>
      <c r="P616" s="33"/>
      <c r="S616" s="33"/>
      <c r="T616" s="33"/>
    </row>
    <row r="617" ht="18.75" customHeight="1">
      <c r="B617" s="3"/>
      <c r="C617" s="5"/>
      <c r="D617" s="5"/>
      <c r="E617" s="5"/>
      <c r="H617" s="8"/>
      <c r="I617" s="8"/>
      <c r="K617" s="8"/>
      <c r="L617" s="9"/>
      <c r="O617" s="13"/>
      <c r="P617" s="33"/>
      <c r="S617" s="33"/>
      <c r="T617" s="33"/>
    </row>
    <row r="618" ht="18.75" customHeight="1">
      <c r="B618" s="3"/>
      <c r="C618" s="5"/>
      <c r="D618" s="5"/>
      <c r="E618" s="5"/>
      <c r="H618" s="8"/>
      <c r="I618" s="8"/>
      <c r="K618" s="8"/>
      <c r="L618" s="9"/>
      <c r="O618" s="13"/>
      <c r="P618" s="33"/>
      <c r="S618" s="33"/>
      <c r="T618" s="33"/>
    </row>
    <row r="619" ht="18.75" customHeight="1">
      <c r="B619" s="3"/>
      <c r="C619" s="5"/>
      <c r="D619" s="5"/>
      <c r="E619" s="5"/>
      <c r="H619" s="8"/>
      <c r="I619" s="8"/>
      <c r="K619" s="8"/>
      <c r="L619" s="9"/>
      <c r="O619" s="13"/>
      <c r="P619" s="33"/>
      <c r="S619" s="33"/>
      <c r="T619" s="33"/>
    </row>
    <row r="620" ht="18.75" customHeight="1">
      <c r="B620" s="3"/>
      <c r="C620" s="5"/>
      <c r="D620" s="5"/>
      <c r="E620" s="5"/>
      <c r="H620" s="8"/>
      <c r="I620" s="8"/>
      <c r="K620" s="8"/>
      <c r="L620" s="9"/>
      <c r="O620" s="13"/>
      <c r="P620" s="33"/>
      <c r="S620" s="33"/>
      <c r="T620" s="33"/>
    </row>
    <row r="621" ht="18.75" customHeight="1">
      <c r="B621" s="3"/>
      <c r="C621" s="5"/>
      <c r="D621" s="5"/>
      <c r="E621" s="5"/>
      <c r="H621" s="8"/>
      <c r="I621" s="8"/>
      <c r="K621" s="8"/>
      <c r="L621" s="9"/>
      <c r="O621" s="13"/>
      <c r="P621" s="33"/>
      <c r="S621" s="33"/>
      <c r="T621" s="33"/>
    </row>
    <row r="622" ht="18.75" customHeight="1">
      <c r="B622" s="3"/>
      <c r="C622" s="5"/>
      <c r="D622" s="5"/>
      <c r="E622" s="5"/>
      <c r="H622" s="8"/>
      <c r="I622" s="8"/>
      <c r="K622" s="8"/>
      <c r="L622" s="9"/>
      <c r="O622" s="13"/>
      <c r="P622" s="33"/>
      <c r="S622" s="33"/>
      <c r="T622" s="33"/>
    </row>
    <row r="623" ht="18.75" customHeight="1">
      <c r="B623" s="3"/>
      <c r="C623" s="5"/>
      <c r="D623" s="5"/>
      <c r="E623" s="5"/>
      <c r="H623" s="8"/>
      <c r="I623" s="8"/>
      <c r="K623" s="8"/>
      <c r="L623" s="9"/>
      <c r="O623" s="13"/>
      <c r="P623" s="33"/>
      <c r="S623" s="33"/>
      <c r="T623" s="33"/>
    </row>
    <row r="624" ht="18.75" customHeight="1">
      <c r="B624" s="3"/>
      <c r="C624" s="5"/>
      <c r="D624" s="5"/>
      <c r="E624" s="5"/>
      <c r="H624" s="8"/>
      <c r="I624" s="8"/>
      <c r="K624" s="8"/>
      <c r="L624" s="9"/>
      <c r="O624" s="13"/>
      <c r="P624" s="33"/>
      <c r="S624" s="33"/>
      <c r="T624" s="33"/>
    </row>
    <row r="625" ht="18.75" customHeight="1">
      <c r="B625" s="3"/>
      <c r="C625" s="5"/>
      <c r="D625" s="5"/>
      <c r="E625" s="5"/>
      <c r="H625" s="8"/>
      <c r="I625" s="8"/>
      <c r="K625" s="8"/>
      <c r="L625" s="9"/>
      <c r="O625" s="13"/>
      <c r="P625" s="33"/>
      <c r="S625" s="33"/>
      <c r="T625" s="33"/>
    </row>
    <row r="626" ht="18.75" customHeight="1">
      <c r="B626" s="3"/>
      <c r="C626" s="5"/>
      <c r="D626" s="5"/>
      <c r="E626" s="5"/>
      <c r="H626" s="8"/>
      <c r="I626" s="8"/>
      <c r="K626" s="8"/>
      <c r="L626" s="9"/>
      <c r="O626" s="13"/>
      <c r="P626" s="33"/>
      <c r="S626" s="33"/>
      <c r="T626" s="33"/>
    </row>
    <row r="627" ht="18.75" customHeight="1">
      <c r="B627" s="3"/>
      <c r="C627" s="5"/>
      <c r="D627" s="5"/>
      <c r="E627" s="5"/>
      <c r="H627" s="8"/>
      <c r="I627" s="8"/>
      <c r="K627" s="8"/>
      <c r="L627" s="9"/>
      <c r="O627" s="13"/>
      <c r="P627" s="33"/>
      <c r="S627" s="33"/>
      <c r="T627" s="33"/>
    </row>
    <row r="628" ht="18.75" customHeight="1">
      <c r="B628" s="3"/>
      <c r="C628" s="5"/>
      <c r="D628" s="5"/>
      <c r="E628" s="5"/>
      <c r="H628" s="8"/>
      <c r="I628" s="8"/>
      <c r="K628" s="8"/>
      <c r="L628" s="9"/>
      <c r="O628" s="13"/>
      <c r="P628" s="33"/>
      <c r="S628" s="33"/>
      <c r="T628" s="33"/>
    </row>
    <row r="629" ht="18.75" customHeight="1">
      <c r="B629" s="3"/>
      <c r="C629" s="5"/>
      <c r="D629" s="5"/>
      <c r="E629" s="5"/>
      <c r="H629" s="8"/>
      <c r="I629" s="8"/>
      <c r="K629" s="8"/>
      <c r="L629" s="9"/>
      <c r="O629" s="13"/>
      <c r="P629" s="33"/>
      <c r="S629" s="33"/>
      <c r="T629" s="33"/>
    </row>
    <row r="630" ht="18.75" customHeight="1">
      <c r="B630" s="3"/>
      <c r="C630" s="5"/>
      <c r="D630" s="5"/>
      <c r="E630" s="5"/>
      <c r="H630" s="8"/>
      <c r="I630" s="8"/>
      <c r="K630" s="8"/>
      <c r="L630" s="9"/>
      <c r="O630" s="13"/>
      <c r="P630" s="33"/>
      <c r="S630" s="33"/>
      <c r="T630" s="33"/>
    </row>
    <row r="631" ht="18.75" customHeight="1">
      <c r="B631" s="3"/>
      <c r="C631" s="5"/>
      <c r="D631" s="5"/>
      <c r="E631" s="5"/>
      <c r="H631" s="8"/>
      <c r="I631" s="8"/>
      <c r="K631" s="8"/>
      <c r="L631" s="9"/>
      <c r="O631" s="13"/>
      <c r="P631" s="33"/>
      <c r="S631" s="33"/>
      <c r="T631" s="33"/>
    </row>
    <row r="632" ht="18.75" customHeight="1">
      <c r="B632" s="3"/>
      <c r="C632" s="5"/>
      <c r="D632" s="5"/>
      <c r="E632" s="5"/>
      <c r="H632" s="8"/>
      <c r="I632" s="8"/>
      <c r="K632" s="8"/>
      <c r="L632" s="9"/>
      <c r="O632" s="13"/>
      <c r="P632" s="33"/>
      <c r="S632" s="33"/>
      <c r="T632" s="33"/>
    </row>
    <row r="633" ht="18.75" customHeight="1">
      <c r="B633" s="3"/>
      <c r="C633" s="5"/>
      <c r="D633" s="5"/>
      <c r="E633" s="5"/>
      <c r="H633" s="8"/>
      <c r="I633" s="8"/>
      <c r="K633" s="8"/>
      <c r="L633" s="9"/>
      <c r="O633" s="13"/>
      <c r="P633" s="33"/>
      <c r="S633" s="33"/>
      <c r="T633" s="33"/>
    </row>
    <row r="634" ht="18.75" customHeight="1">
      <c r="B634" s="3"/>
      <c r="C634" s="5"/>
      <c r="D634" s="5"/>
      <c r="E634" s="5"/>
      <c r="H634" s="8"/>
      <c r="I634" s="8"/>
      <c r="K634" s="8"/>
      <c r="L634" s="9"/>
      <c r="O634" s="13"/>
      <c r="P634" s="33"/>
      <c r="S634" s="33"/>
      <c r="T634" s="33"/>
    </row>
    <row r="635" ht="18.75" customHeight="1">
      <c r="B635" s="3"/>
      <c r="C635" s="5"/>
      <c r="D635" s="5"/>
      <c r="E635" s="5"/>
      <c r="H635" s="8"/>
      <c r="I635" s="8"/>
      <c r="K635" s="8"/>
      <c r="L635" s="9"/>
      <c r="O635" s="13"/>
      <c r="P635" s="33"/>
      <c r="S635" s="33"/>
      <c r="T635" s="33"/>
    </row>
    <row r="636" ht="18.75" customHeight="1">
      <c r="B636" s="3"/>
      <c r="C636" s="5"/>
      <c r="D636" s="5"/>
      <c r="E636" s="5"/>
      <c r="H636" s="8"/>
      <c r="I636" s="8"/>
      <c r="K636" s="8"/>
      <c r="L636" s="9"/>
      <c r="O636" s="13"/>
      <c r="P636" s="33"/>
      <c r="S636" s="33"/>
      <c r="T636" s="33"/>
    </row>
    <row r="637" ht="18.75" customHeight="1">
      <c r="B637" s="3"/>
      <c r="C637" s="5"/>
      <c r="D637" s="5"/>
      <c r="E637" s="5"/>
      <c r="H637" s="8"/>
      <c r="I637" s="8"/>
      <c r="K637" s="8"/>
      <c r="L637" s="9"/>
      <c r="O637" s="13"/>
      <c r="P637" s="33"/>
      <c r="S637" s="33"/>
      <c r="T637" s="33"/>
    </row>
    <row r="638" ht="18.75" customHeight="1">
      <c r="B638" s="3"/>
      <c r="C638" s="5"/>
      <c r="D638" s="5"/>
      <c r="E638" s="5"/>
      <c r="H638" s="8"/>
      <c r="I638" s="8"/>
      <c r="K638" s="8"/>
      <c r="L638" s="9"/>
      <c r="O638" s="13"/>
      <c r="P638" s="33"/>
      <c r="S638" s="33"/>
      <c r="T638" s="33"/>
    </row>
    <row r="639" ht="18.75" customHeight="1">
      <c r="B639" s="3"/>
      <c r="C639" s="5"/>
      <c r="D639" s="5"/>
      <c r="E639" s="5"/>
      <c r="H639" s="8"/>
      <c r="I639" s="8"/>
      <c r="K639" s="8"/>
      <c r="L639" s="9"/>
      <c r="O639" s="13"/>
      <c r="P639" s="33"/>
      <c r="S639" s="33"/>
      <c r="T639" s="33"/>
    </row>
    <row r="640" ht="18.75" customHeight="1">
      <c r="B640" s="3"/>
      <c r="C640" s="5"/>
      <c r="D640" s="5"/>
      <c r="E640" s="5"/>
      <c r="H640" s="8"/>
      <c r="I640" s="8"/>
      <c r="K640" s="8"/>
      <c r="L640" s="9"/>
      <c r="O640" s="13"/>
      <c r="P640" s="33"/>
      <c r="S640" s="33"/>
      <c r="T640" s="33"/>
    </row>
    <row r="641" ht="18.75" customHeight="1">
      <c r="B641" s="3"/>
      <c r="C641" s="5"/>
      <c r="D641" s="5"/>
      <c r="E641" s="5"/>
      <c r="H641" s="8"/>
      <c r="I641" s="8"/>
      <c r="K641" s="8"/>
      <c r="L641" s="9"/>
      <c r="O641" s="13"/>
      <c r="P641" s="33"/>
      <c r="S641" s="33"/>
      <c r="T641" s="33"/>
    </row>
    <row r="642" ht="18.75" customHeight="1">
      <c r="B642" s="3"/>
      <c r="C642" s="5"/>
      <c r="D642" s="5"/>
      <c r="E642" s="5"/>
      <c r="H642" s="8"/>
      <c r="I642" s="8"/>
      <c r="K642" s="8"/>
      <c r="L642" s="9"/>
      <c r="O642" s="13"/>
      <c r="P642" s="33"/>
      <c r="S642" s="33"/>
      <c r="T642" s="33"/>
    </row>
    <row r="643" ht="18.75" customHeight="1">
      <c r="B643" s="3"/>
      <c r="C643" s="5"/>
      <c r="D643" s="5"/>
      <c r="E643" s="5"/>
      <c r="H643" s="8"/>
      <c r="I643" s="8"/>
      <c r="K643" s="8"/>
      <c r="L643" s="9"/>
      <c r="O643" s="13"/>
      <c r="P643" s="33"/>
      <c r="S643" s="33"/>
      <c r="T643" s="33"/>
    </row>
    <row r="644" ht="18.75" customHeight="1">
      <c r="B644" s="3"/>
      <c r="C644" s="5"/>
      <c r="D644" s="5"/>
      <c r="E644" s="5"/>
      <c r="H644" s="8"/>
      <c r="I644" s="8"/>
      <c r="K644" s="8"/>
      <c r="L644" s="9"/>
      <c r="O644" s="13"/>
      <c r="P644" s="33"/>
      <c r="S644" s="33"/>
      <c r="T644" s="33"/>
    </row>
    <row r="645" ht="18.75" customHeight="1">
      <c r="B645" s="3"/>
      <c r="C645" s="5"/>
      <c r="D645" s="5"/>
      <c r="E645" s="5"/>
      <c r="H645" s="8"/>
      <c r="I645" s="8"/>
      <c r="K645" s="8"/>
      <c r="L645" s="9"/>
      <c r="O645" s="13"/>
      <c r="P645" s="33"/>
      <c r="S645" s="33"/>
      <c r="T645" s="33"/>
    </row>
    <row r="646" ht="18.75" customHeight="1">
      <c r="B646" s="3"/>
      <c r="C646" s="5"/>
      <c r="D646" s="5"/>
      <c r="E646" s="5"/>
      <c r="H646" s="8"/>
      <c r="I646" s="8"/>
      <c r="K646" s="8"/>
      <c r="L646" s="9"/>
      <c r="O646" s="13"/>
      <c r="P646" s="33"/>
      <c r="S646" s="33"/>
      <c r="T646" s="33"/>
    </row>
    <row r="647" ht="18.75" customHeight="1">
      <c r="B647" s="3"/>
      <c r="C647" s="5"/>
      <c r="D647" s="5"/>
      <c r="E647" s="5"/>
      <c r="H647" s="8"/>
      <c r="I647" s="8"/>
      <c r="K647" s="8"/>
      <c r="L647" s="9"/>
      <c r="O647" s="13"/>
      <c r="P647" s="33"/>
      <c r="S647" s="33"/>
      <c r="T647" s="33"/>
    </row>
    <row r="648" ht="18.75" customHeight="1">
      <c r="B648" s="3"/>
      <c r="C648" s="5"/>
      <c r="D648" s="5"/>
      <c r="E648" s="5"/>
      <c r="H648" s="8"/>
      <c r="I648" s="8"/>
      <c r="K648" s="8"/>
      <c r="L648" s="9"/>
      <c r="O648" s="13"/>
      <c r="P648" s="33"/>
      <c r="S648" s="33"/>
      <c r="T648" s="33"/>
    </row>
    <row r="649" ht="18.75" customHeight="1">
      <c r="B649" s="3"/>
      <c r="C649" s="5"/>
      <c r="D649" s="5"/>
      <c r="E649" s="5"/>
      <c r="H649" s="8"/>
      <c r="I649" s="8"/>
      <c r="K649" s="8"/>
      <c r="L649" s="9"/>
      <c r="O649" s="13"/>
      <c r="P649" s="33"/>
      <c r="S649" s="33"/>
      <c r="T649" s="33"/>
    </row>
    <row r="650" ht="18.75" customHeight="1">
      <c r="B650" s="3"/>
      <c r="C650" s="5"/>
      <c r="D650" s="5"/>
      <c r="E650" s="5"/>
      <c r="H650" s="8"/>
      <c r="I650" s="8"/>
      <c r="K650" s="8"/>
      <c r="L650" s="9"/>
      <c r="O650" s="13"/>
      <c r="P650" s="33"/>
      <c r="S650" s="33"/>
      <c r="T650" s="33"/>
    </row>
    <row r="651" ht="18.75" customHeight="1">
      <c r="B651" s="3"/>
      <c r="C651" s="5"/>
      <c r="D651" s="5"/>
      <c r="E651" s="5"/>
      <c r="H651" s="8"/>
      <c r="I651" s="8"/>
      <c r="K651" s="8"/>
      <c r="L651" s="9"/>
      <c r="O651" s="13"/>
      <c r="P651" s="33"/>
      <c r="S651" s="33"/>
      <c r="T651" s="33"/>
    </row>
    <row r="652" ht="18.75" customHeight="1">
      <c r="B652" s="3"/>
      <c r="C652" s="5"/>
      <c r="D652" s="5"/>
      <c r="E652" s="5"/>
      <c r="H652" s="8"/>
      <c r="I652" s="8"/>
      <c r="K652" s="8"/>
      <c r="L652" s="9"/>
      <c r="O652" s="13"/>
      <c r="P652" s="33"/>
      <c r="S652" s="33"/>
      <c r="T652" s="33"/>
    </row>
    <row r="653" ht="18.75" customHeight="1">
      <c r="B653" s="3"/>
      <c r="C653" s="5"/>
      <c r="D653" s="5"/>
      <c r="E653" s="5"/>
      <c r="H653" s="8"/>
      <c r="I653" s="8"/>
      <c r="K653" s="8"/>
      <c r="L653" s="9"/>
      <c r="O653" s="13"/>
      <c r="P653" s="33"/>
      <c r="S653" s="33"/>
      <c r="T653" s="33"/>
    </row>
    <row r="654" ht="18.75" customHeight="1">
      <c r="B654" s="3"/>
      <c r="C654" s="5"/>
      <c r="D654" s="5"/>
      <c r="E654" s="5"/>
      <c r="H654" s="8"/>
      <c r="I654" s="8"/>
      <c r="K654" s="8"/>
      <c r="L654" s="9"/>
      <c r="O654" s="13"/>
      <c r="P654" s="33"/>
      <c r="S654" s="33"/>
      <c r="T654" s="33"/>
    </row>
    <row r="655" ht="18.75" customHeight="1">
      <c r="B655" s="3"/>
      <c r="C655" s="5"/>
      <c r="D655" s="5"/>
      <c r="E655" s="5"/>
      <c r="H655" s="8"/>
      <c r="I655" s="8"/>
      <c r="K655" s="8"/>
      <c r="L655" s="9"/>
      <c r="O655" s="13"/>
      <c r="P655" s="33"/>
      <c r="S655" s="33"/>
      <c r="T655" s="33"/>
    </row>
    <row r="656" ht="18.75" customHeight="1">
      <c r="B656" s="3"/>
      <c r="C656" s="5"/>
      <c r="D656" s="5"/>
      <c r="E656" s="5"/>
      <c r="H656" s="8"/>
      <c r="I656" s="8"/>
      <c r="K656" s="8"/>
      <c r="L656" s="9"/>
      <c r="O656" s="13"/>
      <c r="P656" s="33"/>
      <c r="S656" s="33"/>
      <c r="T656" s="33"/>
    </row>
    <row r="657" ht="18.75" customHeight="1">
      <c r="B657" s="3"/>
      <c r="C657" s="5"/>
      <c r="D657" s="5"/>
      <c r="E657" s="5"/>
      <c r="H657" s="8"/>
      <c r="I657" s="8"/>
      <c r="K657" s="8"/>
      <c r="L657" s="9"/>
      <c r="O657" s="13"/>
      <c r="P657" s="33"/>
      <c r="S657" s="33"/>
      <c r="T657" s="33"/>
    </row>
    <row r="658" ht="18.75" customHeight="1">
      <c r="B658" s="3"/>
      <c r="C658" s="5"/>
      <c r="D658" s="5"/>
      <c r="E658" s="5"/>
      <c r="H658" s="8"/>
      <c r="I658" s="8"/>
      <c r="K658" s="8"/>
      <c r="L658" s="9"/>
      <c r="O658" s="13"/>
      <c r="P658" s="33"/>
      <c r="S658" s="33"/>
      <c r="T658" s="33"/>
    </row>
    <row r="659" ht="18.75" customHeight="1">
      <c r="B659" s="3"/>
      <c r="C659" s="5"/>
      <c r="D659" s="5"/>
      <c r="E659" s="5"/>
      <c r="H659" s="8"/>
      <c r="I659" s="8"/>
      <c r="K659" s="8"/>
      <c r="L659" s="9"/>
      <c r="O659" s="13"/>
      <c r="P659" s="33"/>
      <c r="S659" s="33"/>
      <c r="T659" s="33"/>
    </row>
    <row r="660" ht="18.75" customHeight="1">
      <c r="B660" s="3"/>
      <c r="C660" s="5"/>
      <c r="D660" s="5"/>
      <c r="E660" s="5"/>
      <c r="H660" s="8"/>
      <c r="I660" s="8"/>
      <c r="K660" s="8"/>
      <c r="L660" s="9"/>
      <c r="O660" s="13"/>
      <c r="P660" s="33"/>
      <c r="S660" s="33"/>
      <c r="T660" s="33"/>
    </row>
    <row r="661" ht="18.75" customHeight="1">
      <c r="B661" s="3"/>
      <c r="C661" s="5"/>
      <c r="D661" s="5"/>
      <c r="E661" s="5"/>
      <c r="H661" s="8"/>
      <c r="I661" s="8"/>
      <c r="K661" s="8"/>
      <c r="L661" s="9"/>
      <c r="O661" s="13"/>
      <c r="P661" s="33"/>
      <c r="S661" s="33"/>
      <c r="T661" s="33"/>
    </row>
    <row r="662" ht="18.75" customHeight="1">
      <c r="B662" s="3"/>
      <c r="C662" s="5"/>
      <c r="D662" s="5"/>
      <c r="E662" s="5"/>
      <c r="H662" s="8"/>
      <c r="I662" s="8"/>
      <c r="K662" s="8"/>
      <c r="L662" s="9"/>
      <c r="O662" s="13"/>
      <c r="P662" s="33"/>
      <c r="S662" s="33"/>
      <c r="T662" s="33"/>
    </row>
    <row r="663" ht="18.75" customHeight="1">
      <c r="B663" s="3"/>
      <c r="C663" s="5"/>
      <c r="D663" s="5"/>
      <c r="E663" s="5"/>
      <c r="H663" s="8"/>
      <c r="I663" s="8"/>
      <c r="K663" s="8"/>
      <c r="L663" s="9"/>
      <c r="O663" s="13"/>
      <c r="P663" s="33"/>
      <c r="S663" s="33"/>
      <c r="T663" s="33"/>
    </row>
    <row r="664" ht="18.75" customHeight="1">
      <c r="B664" s="3"/>
      <c r="C664" s="5"/>
      <c r="D664" s="5"/>
      <c r="E664" s="5"/>
      <c r="H664" s="8"/>
      <c r="I664" s="8"/>
      <c r="K664" s="8"/>
      <c r="L664" s="9"/>
      <c r="O664" s="13"/>
      <c r="P664" s="33"/>
      <c r="S664" s="33"/>
      <c r="T664" s="33"/>
    </row>
    <row r="665" ht="18.75" customHeight="1">
      <c r="B665" s="3"/>
      <c r="C665" s="5"/>
      <c r="D665" s="5"/>
      <c r="E665" s="5"/>
      <c r="H665" s="8"/>
      <c r="I665" s="8"/>
      <c r="K665" s="8"/>
      <c r="L665" s="9"/>
      <c r="O665" s="13"/>
      <c r="P665" s="33"/>
      <c r="S665" s="33"/>
      <c r="T665" s="33"/>
    </row>
    <row r="666" ht="18.75" customHeight="1">
      <c r="B666" s="3"/>
      <c r="C666" s="5"/>
      <c r="D666" s="5"/>
      <c r="E666" s="5"/>
      <c r="H666" s="8"/>
      <c r="I666" s="8"/>
      <c r="K666" s="8"/>
      <c r="L666" s="9"/>
      <c r="O666" s="13"/>
      <c r="P666" s="33"/>
      <c r="S666" s="33"/>
      <c r="T666" s="33"/>
    </row>
    <row r="667" ht="18.75" customHeight="1">
      <c r="B667" s="3"/>
      <c r="C667" s="5"/>
      <c r="D667" s="5"/>
      <c r="E667" s="5"/>
      <c r="H667" s="8"/>
      <c r="I667" s="8"/>
      <c r="K667" s="8"/>
      <c r="L667" s="9"/>
      <c r="O667" s="13"/>
      <c r="P667" s="33"/>
      <c r="S667" s="33"/>
      <c r="T667" s="33"/>
    </row>
    <row r="668" ht="18.75" customHeight="1">
      <c r="B668" s="3"/>
      <c r="C668" s="5"/>
      <c r="D668" s="5"/>
      <c r="E668" s="5"/>
      <c r="H668" s="8"/>
      <c r="I668" s="8"/>
      <c r="K668" s="8"/>
      <c r="L668" s="9"/>
      <c r="O668" s="13"/>
      <c r="P668" s="33"/>
      <c r="S668" s="33"/>
      <c r="T668" s="33"/>
    </row>
    <row r="669" ht="18.75" customHeight="1">
      <c r="B669" s="3"/>
      <c r="C669" s="5"/>
      <c r="D669" s="5"/>
      <c r="E669" s="5"/>
      <c r="H669" s="8"/>
      <c r="I669" s="8"/>
      <c r="K669" s="8"/>
      <c r="L669" s="9"/>
      <c r="O669" s="13"/>
      <c r="P669" s="33"/>
      <c r="S669" s="33"/>
      <c r="T669" s="33"/>
    </row>
    <row r="670" ht="18.75" customHeight="1">
      <c r="B670" s="3"/>
      <c r="C670" s="5"/>
      <c r="D670" s="5"/>
      <c r="E670" s="5"/>
      <c r="H670" s="8"/>
      <c r="I670" s="8"/>
      <c r="K670" s="8"/>
      <c r="L670" s="9"/>
      <c r="O670" s="13"/>
      <c r="P670" s="33"/>
      <c r="S670" s="33"/>
      <c r="T670" s="33"/>
    </row>
    <row r="671" ht="18.75" customHeight="1">
      <c r="B671" s="3"/>
      <c r="C671" s="5"/>
      <c r="D671" s="5"/>
      <c r="E671" s="5"/>
      <c r="H671" s="8"/>
      <c r="I671" s="8"/>
      <c r="K671" s="8"/>
      <c r="L671" s="9"/>
      <c r="O671" s="13"/>
      <c r="P671" s="33"/>
      <c r="S671" s="33"/>
      <c r="T671" s="33"/>
    </row>
    <row r="672" ht="18.75" customHeight="1">
      <c r="B672" s="3"/>
      <c r="C672" s="5"/>
      <c r="D672" s="5"/>
      <c r="E672" s="5"/>
      <c r="H672" s="8"/>
      <c r="I672" s="8"/>
      <c r="K672" s="8"/>
      <c r="L672" s="9"/>
      <c r="O672" s="13"/>
      <c r="P672" s="33"/>
      <c r="S672" s="33"/>
      <c r="T672" s="33"/>
    </row>
    <row r="673" ht="18.75" customHeight="1">
      <c r="B673" s="3"/>
      <c r="C673" s="5"/>
      <c r="D673" s="5"/>
      <c r="E673" s="5"/>
      <c r="H673" s="8"/>
      <c r="I673" s="8"/>
      <c r="K673" s="8"/>
      <c r="L673" s="9"/>
      <c r="O673" s="13"/>
      <c r="P673" s="33"/>
      <c r="S673" s="33"/>
      <c r="T673" s="33"/>
    </row>
    <row r="674" ht="18.75" customHeight="1">
      <c r="B674" s="3"/>
      <c r="C674" s="5"/>
      <c r="D674" s="5"/>
      <c r="E674" s="5"/>
      <c r="H674" s="8"/>
      <c r="I674" s="8"/>
      <c r="K674" s="8"/>
      <c r="L674" s="9"/>
      <c r="O674" s="13"/>
      <c r="P674" s="33"/>
      <c r="S674" s="33"/>
      <c r="T674" s="33"/>
    </row>
    <row r="675" ht="18.75" customHeight="1">
      <c r="B675" s="3"/>
      <c r="C675" s="5"/>
      <c r="D675" s="5"/>
      <c r="E675" s="5"/>
      <c r="H675" s="8"/>
      <c r="I675" s="8"/>
      <c r="K675" s="8"/>
      <c r="L675" s="9"/>
      <c r="O675" s="13"/>
      <c r="P675" s="33"/>
      <c r="S675" s="33"/>
      <c r="T675" s="33"/>
    </row>
    <row r="676" ht="18.75" customHeight="1">
      <c r="B676" s="3"/>
      <c r="C676" s="5"/>
      <c r="D676" s="5"/>
      <c r="E676" s="5"/>
      <c r="H676" s="8"/>
      <c r="I676" s="8"/>
      <c r="K676" s="8"/>
      <c r="L676" s="9"/>
      <c r="O676" s="13"/>
      <c r="P676" s="33"/>
      <c r="S676" s="33"/>
      <c r="T676" s="33"/>
    </row>
    <row r="677" ht="18.75" customHeight="1">
      <c r="B677" s="3"/>
      <c r="C677" s="5"/>
      <c r="D677" s="5"/>
      <c r="E677" s="5"/>
      <c r="H677" s="8"/>
      <c r="I677" s="8"/>
      <c r="K677" s="8"/>
      <c r="L677" s="9"/>
      <c r="O677" s="13"/>
      <c r="P677" s="33"/>
      <c r="S677" s="33"/>
      <c r="T677" s="33"/>
    </row>
    <row r="678" ht="18.75" customHeight="1">
      <c r="B678" s="3"/>
      <c r="C678" s="5"/>
      <c r="D678" s="5"/>
      <c r="E678" s="5"/>
      <c r="H678" s="8"/>
      <c r="I678" s="8"/>
      <c r="K678" s="8"/>
      <c r="L678" s="9"/>
      <c r="O678" s="13"/>
      <c r="P678" s="33"/>
      <c r="S678" s="33"/>
      <c r="T678" s="33"/>
    </row>
    <row r="679" ht="18.75" customHeight="1">
      <c r="B679" s="3"/>
      <c r="C679" s="5"/>
      <c r="D679" s="5"/>
      <c r="E679" s="5"/>
      <c r="H679" s="8"/>
      <c r="I679" s="8"/>
      <c r="K679" s="8"/>
      <c r="L679" s="9"/>
      <c r="O679" s="13"/>
      <c r="P679" s="33"/>
      <c r="S679" s="33"/>
      <c r="T679" s="33"/>
    </row>
    <row r="680" ht="18.75" customHeight="1">
      <c r="B680" s="3"/>
      <c r="C680" s="5"/>
      <c r="D680" s="5"/>
      <c r="E680" s="5"/>
      <c r="H680" s="8"/>
      <c r="I680" s="8"/>
      <c r="K680" s="8"/>
      <c r="L680" s="9"/>
      <c r="O680" s="13"/>
      <c r="P680" s="33"/>
      <c r="S680" s="33"/>
      <c r="T680" s="33"/>
    </row>
    <row r="681" ht="18.75" customHeight="1">
      <c r="B681" s="3"/>
      <c r="C681" s="5"/>
      <c r="D681" s="5"/>
      <c r="E681" s="5"/>
      <c r="H681" s="8"/>
      <c r="I681" s="8"/>
      <c r="K681" s="8"/>
      <c r="L681" s="9"/>
      <c r="O681" s="13"/>
      <c r="P681" s="33"/>
      <c r="S681" s="33"/>
      <c r="T681" s="33"/>
    </row>
    <row r="682" ht="18.75" customHeight="1">
      <c r="B682" s="3"/>
      <c r="C682" s="5"/>
      <c r="D682" s="5"/>
      <c r="E682" s="5"/>
      <c r="H682" s="8"/>
      <c r="I682" s="8"/>
      <c r="K682" s="8"/>
      <c r="L682" s="9"/>
      <c r="O682" s="13"/>
      <c r="P682" s="33"/>
      <c r="S682" s="33"/>
      <c r="T682" s="33"/>
    </row>
    <row r="683" ht="18.75" customHeight="1">
      <c r="B683" s="3"/>
      <c r="C683" s="5"/>
      <c r="D683" s="5"/>
      <c r="E683" s="5"/>
      <c r="H683" s="8"/>
      <c r="I683" s="8"/>
      <c r="K683" s="8"/>
      <c r="L683" s="9"/>
      <c r="O683" s="13"/>
      <c r="P683" s="33"/>
      <c r="S683" s="33"/>
      <c r="T683" s="33"/>
    </row>
    <row r="684" ht="18.75" customHeight="1">
      <c r="B684" s="3"/>
      <c r="C684" s="5"/>
      <c r="D684" s="5"/>
      <c r="E684" s="5"/>
      <c r="H684" s="8"/>
      <c r="I684" s="8"/>
      <c r="K684" s="8"/>
      <c r="L684" s="9"/>
      <c r="O684" s="13"/>
      <c r="P684" s="33"/>
      <c r="S684" s="33"/>
      <c r="T684" s="33"/>
    </row>
    <row r="685" ht="18.75" customHeight="1">
      <c r="B685" s="3"/>
      <c r="C685" s="5"/>
      <c r="D685" s="5"/>
      <c r="E685" s="5"/>
      <c r="H685" s="8"/>
      <c r="I685" s="8"/>
      <c r="K685" s="8"/>
      <c r="L685" s="9"/>
      <c r="O685" s="13"/>
      <c r="P685" s="33"/>
      <c r="S685" s="33"/>
      <c r="T685" s="33"/>
    </row>
    <row r="686" ht="18.75" customHeight="1">
      <c r="B686" s="3"/>
      <c r="C686" s="5"/>
      <c r="D686" s="5"/>
      <c r="E686" s="5"/>
      <c r="H686" s="8"/>
      <c r="I686" s="8"/>
      <c r="K686" s="8"/>
      <c r="L686" s="9"/>
      <c r="O686" s="13"/>
      <c r="P686" s="33"/>
      <c r="S686" s="33"/>
      <c r="T686" s="33"/>
    </row>
    <row r="687" ht="18.75" customHeight="1">
      <c r="B687" s="3"/>
      <c r="C687" s="5"/>
      <c r="D687" s="5"/>
      <c r="E687" s="5"/>
      <c r="H687" s="8"/>
      <c r="I687" s="8"/>
      <c r="K687" s="8"/>
      <c r="L687" s="9"/>
      <c r="O687" s="13"/>
      <c r="P687" s="33"/>
      <c r="S687" s="33"/>
      <c r="T687" s="33"/>
    </row>
    <row r="688" ht="18.75" customHeight="1">
      <c r="B688" s="3"/>
      <c r="C688" s="5"/>
      <c r="D688" s="5"/>
      <c r="E688" s="5"/>
      <c r="H688" s="8"/>
      <c r="I688" s="8"/>
      <c r="K688" s="8"/>
      <c r="L688" s="9"/>
      <c r="O688" s="13"/>
      <c r="P688" s="33"/>
      <c r="S688" s="33"/>
      <c r="T688" s="33"/>
    </row>
    <row r="689" ht="18.75" customHeight="1">
      <c r="B689" s="3"/>
      <c r="C689" s="5"/>
      <c r="D689" s="5"/>
      <c r="E689" s="5"/>
      <c r="H689" s="8"/>
      <c r="I689" s="8"/>
      <c r="K689" s="8"/>
      <c r="L689" s="9"/>
      <c r="O689" s="13"/>
      <c r="P689" s="33"/>
      <c r="S689" s="33"/>
      <c r="T689" s="33"/>
    </row>
    <row r="690" ht="18.75" customHeight="1">
      <c r="B690" s="3"/>
      <c r="C690" s="5"/>
      <c r="D690" s="5"/>
      <c r="E690" s="5"/>
      <c r="H690" s="8"/>
      <c r="I690" s="8"/>
      <c r="K690" s="8"/>
      <c r="L690" s="9"/>
      <c r="O690" s="13"/>
      <c r="P690" s="33"/>
      <c r="S690" s="33"/>
      <c r="T690" s="33"/>
    </row>
    <row r="691" ht="18.75" customHeight="1">
      <c r="B691" s="3"/>
      <c r="C691" s="5"/>
      <c r="D691" s="5"/>
      <c r="E691" s="5"/>
      <c r="H691" s="8"/>
      <c r="I691" s="8"/>
      <c r="K691" s="8"/>
      <c r="L691" s="9"/>
      <c r="O691" s="13"/>
      <c r="P691" s="33"/>
      <c r="S691" s="33"/>
      <c r="T691" s="33"/>
    </row>
    <row r="692" ht="18.75" customHeight="1">
      <c r="B692" s="3"/>
      <c r="C692" s="5"/>
      <c r="D692" s="5"/>
      <c r="E692" s="5"/>
      <c r="H692" s="8"/>
      <c r="I692" s="8"/>
      <c r="K692" s="8"/>
      <c r="L692" s="9"/>
      <c r="O692" s="13"/>
      <c r="P692" s="33"/>
      <c r="S692" s="33"/>
      <c r="T692" s="33"/>
    </row>
    <row r="693" ht="18.75" customHeight="1">
      <c r="B693" s="3"/>
      <c r="C693" s="5"/>
      <c r="D693" s="5"/>
      <c r="E693" s="5"/>
      <c r="H693" s="8"/>
      <c r="I693" s="8"/>
      <c r="K693" s="8"/>
      <c r="L693" s="9"/>
      <c r="O693" s="13"/>
      <c r="P693" s="33"/>
      <c r="S693" s="33"/>
      <c r="T693" s="33"/>
    </row>
    <row r="694" ht="18.75" customHeight="1">
      <c r="B694" s="3"/>
      <c r="C694" s="5"/>
      <c r="D694" s="5"/>
      <c r="E694" s="5"/>
      <c r="H694" s="8"/>
      <c r="I694" s="8"/>
      <c r="K694" s="8"/>
      <c r="L694" s="9"/>
      <c r="O694" s="13"/>
      <c r="P694" s="33"/>
      <c r="S694" s="33"/>
      <c r="T694" s="33"/>
    </row>
    <row r="695" ht="18.75" customHeight="1">
      <c r="B695" s="3"/>
      <c r="C695" s="5"/>
      <c r="D695" s="5"/>
      <c r="E695" s="5"/>
      <c r="H695" s="8"/>
      <c r="I695" s="8"/>
      <c r="K695" s="8"/>
      <c r="L695" s="9"/>
      <c r="O695" s="13"/>
      <c r="P695" s="33"/>
      <c r="S695" s="33"/>
      <c r="T695" s="33"/>
    </row>
    <row r="696" ht="18.75" customHeight="1">
      <c r="B696" s="3"/>
      <c r="C696" s="5"/>
      <c r="D696" s="5"/>
      <c r="E696" s="5"/>
      <c r="H696" s="8"/>
      <c r="I696" s="8"/>
      <c r="K696" s="8"/>
      <c r="L696" s="9"/>
      <c r="O696" s="13"/>
      <c r="P696" s="33"/>
      <c r="S696" s="33"/>
      <c r="T696" s="33"/>
    </row>
    <row r="697" ht="18.75" customHeight="1">
      <c r="B697" s="3"/>
      <c r="C697" s="5"/>
      <c r="D697" s="5"/>
      <c r="E697" s="5"/>
      <c r="H697" s="8"/>
      <c r="I697" s="8"/>
      <c r="K697" s="8"/>
      <c r="L697" s="9"/>
      <c r="O697" s="13"/>
      <c r="P697" s="33"/>
      <c r="S697" s="33"/>
      <c r="T697" s="33"/>
    </row>
    <row r="698" ht="18.75" customHeight="1">
      <c r="B698" s="3"/>
      <c r="C698" s="5"/>
      <c r="D698" s="5"/>
      <c r="E698" s="5"/>
      <c r="H698" s="8"/>
      <c r="I698" s="8"/>
      <c r="K698" s="8"/>
      <c r="L698" s="9"/>
      <c r="O698" s="13"/>
      <c r="P698" s="33"/>
      <c r="S698" s="33"/>
      <c r="T698" s="33"/>
    </row>
    <row r="699" ht="18.75" customHeight="1">
      <c r="B699" s="3"/>
      <c r="C699" s="5"/>
      <c r="D699" s="5"/>
      <c r="E699" s="5"/>
      <c r="H699" s="8"/>
      <c r="I699" s="8"/>
      <c r="K699" s="8"/>
      <c r="L699" s="9"/>
      <c r="O699" s="13"/>
      <c r="P699" s="33"/>
      <c r="S699" s="33"/>
      <c r="T699" s="33"/>
    </row>
    <row r="700" ht="18.75" customHeight="1">
      <c r="B700" s="3"/>
      <c r="C700" s="5"/>
      <c r="D700" s="5"/>
      <c r="E700" s="5"/>
      <c r="H700" s="8"/>
      <c r="I700" s="8"/>
      <c r="K700" s="8"/>
      <c r="L700" s="9"/>
      <c r="O700" s="13"/>
      <c r="P700" s="33"/>
      <c r="S700" s="33"/>
      <c r="T700" s="33"/>
    </row>
    <row r="701" ht="18.75" customHeight="1">
      <c r="B701" s="3"/>
      <c r="C701" s="5"/>
      <c r="D701" s="5"/>
      <c r="E701" s="5"/>
      <c r="H701" s="8"/>
      <c r="I701" s="8"/>
      <c r="K701" s="8"/>
      <c r="L701" s="9"/>
      <c r="O701" s="13"/>
      <c r="P701" s="33"/>
      <c r="S701" s="33"/>
      <c r="T701" s="33"/>
    </row>
    <row r="702" ht="18.75" customHeight="1">
      <c r="B702" s="3"/>
      <c r="C702" s="5"/>
      <c r="D702" s="5"/>
      <c r="E702" s="5"/>
      <c r="H702" s="8"/>
      <c r="I702" s="8"/>
      <c r="K702" s="8"/>
      <c r="L702" s="9"/>
      <c r="O702" s="13"/>
      <c r="P702" s="33"/>
      <c r="S702" s="33"/>
      <c r="T702" s="33"/>
    </row>
    <row r="703" ht="18.75" customHeight="1">
      <c r="B703" s="3"/>
      <c r="C703" s="5"/>
      <c r="D703" s="5"/>
      <c r="E703" s="5"/>
      <c r="H703" s="8"/>
      <c r="I703" s="8"/>
      <c r="K703" s="8"/>
      <c r="L703" s="9"/>
      <c r="O703" s="13"/>
      <c r="P703" s="33"/>
      <c r="S703" s="33"/>
      <c r="T703" s="33"/>
    </row>
    <row r="704" ht="18.75" customHeight="1">
      <c r="B704" s="3"/>
      <c r="C704" s="5"/>
      <c r="D704" s="5"/>
      <c r="E704" s="5"/>
      <c r="H704" s="8"/>
      <c r="I704" s="8"/>
      <c r="K704" s="8"/>
      <c r="L704" s="9"/>
      <c r="O704" s="13"/>
      <c r="P704" s="33"/>
      <c r="S704" s="33"/>
      <c r="T704" s="33"/>
    </row>
    <row r="705" ht="18.75" customHeight="1">
      <c r="B705" s="3"/>
      <c r="C705" s="5"/>
      <c r="D705" s="5"/>
      <c r="E705" s="5"/>
      <c r="H705" s="8"/>
      <c r="I705" s="8"/>
      <c r="K705" s="8"/>
      <c r="L705" s="9"/>
      <c r="O705" s="13"/>
      <c r="P705" s="33"/>
      <c r="S705" s="33"/>
      <c r="T705" s="33"/>
    </row>
    <row r="706" ht="18.75" customHeight="1">
      <c r="B706" s="3"/>
      <c r="C706" s="5"/>
      <c r="D706" s="5"/>
      <c r="E706" s="5"/>
      <c r="H706" s="8"/>
      <c r="I706" s="8"/>
      <c r="K706" s="8"/>
      <c r="L706" s="9"/>
      <c r="O706" s="13"/>
      <c r="P706" s="33"/>
      <c r="S706" s="33"/>
      <c r="T706" s="33"/>
    </row>
    <row r="707" ht="18.75" customHeight="1">
      <c r="B707" s="3"/>
      <c r="C707" s="5"/>
      <c r="D707" s="5"/>
      <c r="E707" s="5"/>
      <c r="H707" s="8"/>
      <c r="I707" s="8"/>
      <c r="K707" s="8"/>
      <c r="L707" s="9"/>
      <c r="O707" s="13"/>
      <c r="P707" s="33"/>
      <c r="S707" s="33"/>
      <c r="T707" s="33"/>
    </row>
    <row r="708" ht="18.75" customHeight="1">
      <c r="B708" s="3"/>
      <c r="C708" s="5"/>
      <c r="D708" s="5"/>
      <c r="E708" s="5"/>
      <c r="H708" s="8"/>
      <c r="I708" s="8"/>
      <c r="K708" s="8"/>
      <c r="L708" s="9"/>
      <c r="O708" s="13"/>
      <c r="P708" s="33"/>
      <c r="S708" s="33"/>
      <c r="T708" s="33"/>
    </row>
    <row r="709" ht="18.75" customHeight="1">
      <c r="B709" s="3"/>
      <c r="C709" s="5"/>
      <c r="D709" s="5"/>
      <c r="E709" s="5"/>
      <c r="H709" s="8"/>
      <c r="I709" s="8"/>
      <c r="K709" s="8"/>
      <c r="L709" s="9"/>
      <c r="O709" s="13"/>
      <c r="P709" s="33"/>
      <c r="S709" s="33"/>
      <c r="T709" s="33"/>
    </row>
    <row r="710" ht="18.75" customHeight="1">
      <c r="B710" s="3"/>
      <c r="C710" s="5"/>
      <c r="D710" s="5"/>
      <c r="E710" s="5"/>
      <c r="H710" s="8"/>
      <c r="I710" s="8"/>
      <c r="K710" s="8"/>
      <c r="L710" s="9"/>
      <c r="O710" s="13"/>
      <c r="P710" s="33"/>
      <c r="S710" s="33"/>
      <c r="T710" s="33"/>
    </row>
    <row r="711" ht="18.75" customHeight="1">
      <c r="B711" s="3"/>
      <c r="C711" s="5"/>
      <c r="D711" s="5"/>
      <c r="E711" s="5"/>
      <c r="H711" s="8"/>
      <c r="I711" s="8"/>
      <c r="K711" s="8"/>
      <c r="L711" s="9"/>
      <c r="O711" s="13"/>
      <c r="P711" s="33"/>
      <c r="S711" s="33"/>
      <c r="T711" s="33"/>
    </row>
    <row r="712" ht="18.75" customHeight="1">
      <c r="B712" s="3"/>
      <c r="C712" s="5"/>
      <c r="D712" s="5"/>
      <c r="E712" s="5"/>
      <c r="H712" s="8"/>
      <c r="I712" s="8"/>
      <c r="K712" s="8"/>
      <c r="L712" s="9"/>
      <c r="O712" s="13"/>
      <c r="P712" s="33"/>
      <c r="S712" s="33"/>
      <c r="T712" s="33"/>
    </row>
    <row r="713" ht="18.75" customHeight="1">
      <c r="B713" s="3"/>
      <c r="C713" s="5"/>
      <c r="D713" s="5"/>
      <c r="E713" s="5"/>
      <c r="H713" s="8"/>
      <c r="I713" s="8"/>
      <c r="K713" s="8"/>
      <c r="L713" s="9"/>
      <c r="O713" s="13"/>
      <c r="P713" s="33"/>
      <c r="S713" s="33"/>
      <c r="T713" s="33"/>
    </row>
    <row r="714" ht="18.75" customHeight="1">
      <c r="B714" s="3"/>
      <c r="C714" s="5"/>
      <c r="D714" s="5"/>
      <c r="E714" s="5"/>
      <c r="H714" s="8"/>
      <c r="I714" s="8"/>
      <c r="K714" s="8"/>
      <c r="L714" s="9"/>
      <c r="O714" s="13"/>
      <c r="P714" s="33"/>
      <c r="S714" s="33"/>
      <c r="T714" s="33"/>
    </row>
    <row r="715" ht="18.75" customHeight="1">
      <c r="B715" s="3"/>
      <c r="C715" s="5"/>
      <c r="D715" s="5"/>
      <c r="E715" s="5"/>
      <c r="H715" s="8"/>
      <c r="I715" s="8"/>
      <c r="K715" s="8"/>
      <c r="L715" s="9"/>
      <c r="O715" s="13"/>
      <c r="P715" s="33"/>
      <c r="S715" s="33"/>
      <c r="T715" s="33"/>
    </row>
    <row r="716" ht="18.75" customHeight="1">
      <c r="B716" s="3"/>
      <c r="C716" s="5"/>
      <c r="D716" s="5"/>
      <c r="E716" s="5"/>
      <c r="H716" s="8"/>
      <c r="I716" s="8"/>
      <c r="K716" s="8"/>
      <c r="L716" s="9"/>
      <c r="O716" s="13"/>
      <c r="P716" s="33"/>
      <c r="S716" s="33"/>
      <c r="T716" s="33"/>
    </row>
    <row r="717" ht="18.75" customHeight="1">
      <c r="B717" s="3"/>
      <c r="C717" s="5"/>
      <c r="D717" s="5"/>
      <c r="E717" s="5"/>
      <c r="H717" s="8"/>
      <c r="I717" s="8"/>
      <c r="K717" s="8"/>
      <c r="L717" s="9"/>
      <c r="O717" s="13"/>
      <c r="P717" s="33"/>
      <c r="S717" s="33"/>
      <c r="T717" s="33"/>
    </row>
    <row r="718" ht="18.75" customHeight="1">
      <c r="B718" s="3"/>
      <c r="C718" s="5"/>
      <c r="D718" s="5"/>
      <c r="E718" s="5"/>
      <c r="H718" s="8"/>
      <c r="I718" s="8"/>
      <c r="K718" s="8"/>
      <c r="L718" s="9"/>
      <c r="O718" s="13"/>
      <c r="P718" s="33"/>
      <c r="S718" s="33"/>
      <c r="T718" s="33"/>
    </row>
    <row r="719" ht="18.75" customHeight="1">
      <c r="B719" s="3"/>
      <c r="C719" s="5"/>
      <c r="D719" s="5"/>
      <c r="E719" s="5"/>
      <c r="H719" s="8"/>
      <c r="I719" s="8"/>
      <c r="K719" s="8"/>
      <c r="L719" s="9"/>
      <c r="O719" s="13"/>
      <c r="P719" s="33"/>
      <c r="S719" s="33"/>
      <c r="T719" s="33"/>
    </row>
    <row r="720" ht="18.75" customHeight="1">
      <c r="B720" s="3"/>
      <c r="C720" s="5"/>
      <c r="D720" s="5"/>
      <c r="E720" s="5"/>
      <c r="H720" s="8"/>
      <c r="I720" s="8"/>
      <c r="K720" s="8"/>
      <c r="L720" s="9"/>
      <c r="O720" s="13"/>
      <c r="P720" s="33"/>
      <c r="S720" s="33"/>
      <c r="T720" s="33"/>
    </row>
    <row r="721" ht="18.75" customHeight="1">
      <c r="B721" s="3"/>
      <c r="C721" s="5"/>
      <c r="D721" s="5"/>
      <c r="E721" s="5"/>
      <c r="H721" s="8"/>
      <c r="I721" s="8"/>
      <c r="K721" s="8"/>
      <c r="L721" s="9"/>
      <c r="O721" s="13"/>
      <c r="P721" s="33"/>
      <c r="S721" s="33"/>
      <c r="T721" s="33"/>
    </row>
    <row r="722" ht="18.75" customHeight="1">
      <c r="B722" s="3"/>
      <c r="C722" s="5"/>
      <c r="D722" s="5"/>
      <c r="E722" s="5"/>
      <c r="H722" s="8"/>
      <c r="I722" s="8"/>
      <c r="K722" s="8"/>
      <c r="L722" s="9"/>
      <c r="O722" s="13"/>
      <c r="P722" s="33"/>
      <c r="S722" s="33"/>
      <c r="T722" s="33"/>
    </row>
    <row r="723" ht="18.75" customHeight="1">
      <c r="B723" s="3"/>
      <c r="C723" s="5"/>
      <c r="D723" s="5"/>
      <c r="E723" s="5"/>
      <c r="H723" s="8"/>
      <c r="I723" s="8"/>
      <c r="K723" s="8"/>
      <c r="L723" s="9"/>
      <c r="O723" s="13"/>
      <c r="P723" s="33"/>
      <c r="S723" s="33"/>
      <c r="T723" s="33"/>
    </row>
    <row r="724" ht="18.75" customHeight="1">
      <c r="B724" s="3"/>
      <c r="C724" s="5"/>
      <c r="D724" s="5"/>
      <c r="E724" s="5"/>
      <c r="H724" s="8"/>
      <c r="I724" s="8"/>
      <c r="K724" s="8"/>
      <c r="L724" s="9"/>
      <c r="O724" s="13"/>
      <c r="P724" s="33"/>
      <c r="S724" s="33"/>
      <c r="T724" s="33"/>
    </row>
    <row r="725" ht="18.75" customHeight="1">
      <c r="B725" s="3"/>
      <c r="C725" s="5"/>
      <c r="D725" s="5"/>
      <c r="E725" s="5"/>
      <c r="H725" s="8"/>
      <c r="I725" s="8"/>
      <c r="K725" s="8"/>
      <c r="L725" s="9"/>
      <c r="O725" s="13"/>
      <c r="P725" s="33"/>
      <c r="S725" s="33"/>
      <c r="T725" s="33"/>
    </row>
    <row r="726" ht="18.75" customHeight="1">
      <c r="B726" s="3"/>
      <c r="C726" s="5"/>
      <c r="D726" s="5"/>
      <c r="E726" s="5"/>
      <c r="H726" s="8"/>
      <c r="I726" s="8"/>
      <c r="K726" s="8"/>
      <c r="L726" s="9"/>
      <c r="O726" s="13"/>
      <c r="P726" s="33"/>
      <c r="S726" s="33"/>
      <c r="T726" s="33"/>
    </row>
    <row r="727" ht="18.75" customHeight="1">
      <c r="B727" s="3"/>
      <c r="C727" s="5"/>
      <c r="D727" s="5"/>
      <c r="E727" s="5"/>
      <c r="H727" s="8"/>
      <c r="I727" s="8"/>
      <c r="K727" s="8"/>
      <c r="L727" s="9"/>
      <c r="O727" s="13"/>
      <c r="P727" s="33"/>
      <c r="S727" s="33"/>
      <c r="T727" s="33"/>
    </row>
    <row r="728" ht="18.75" customHeight="1">
      <c r="B728" s="3"/>
      <c r="C728" s="5"/>
      <c r="D728" s="5"/>
      <c r="E728" s="5"/>
      <c r="H728" s="8"/>
      <c r="I728" s="8"/>
      <c r="K728" s="8"/>
      <c r="L728" s="9"/>
      <c r="O728" s="13"/>
      <c r="P728" s="33"/>
      <c r="S728" s="33"/>
      <c r="T728" s="33"/>
    </row>
    <row r="729" ht="18.75" customHeight="1">
      <c r="B729" s="3"/>
      <c r="C729" s="5"/>
      <c r="D729" s="5"/>
      <c r="E729" s="5"/>
      <c r="H729" s="8"/>
      <c r="I729" s="8"/>
      <c r="K729" s="8"/>
      <c r="L729" s="9"/>
      <c r="O729" s="13"/>
      <c r="P729" s="33"/>
      <c r="S729" s="33"/>
      <c r="T729" s="33"/>
    </row>
    <row r="730" ht="18.75" customHeight="1">
      <c r="B730" s="3"/>
      <c r="C730" s="5"/>
      <c r="D730" s="5"/>
      <c r="E730" s="5"/>
      <c r="H730" s="8"/>
      <c r="I730" s="8"/>
      <c r="K730" s="8"/>
      <c r="L730" s="9"/>
      <c r="O730" s="13"/>
      <c r="P730" s="33"/>
      <c r="S730" s="33"/>
      <c r="T730" s="33"/>
    </row>
    <row r="731" ht="18.75" customHeight="1">
      <c r="B731" s="3"/>
      <c r="C731" s="5"/>
      <c r="D731" s="5"/>
      <c r="E731" s="5"/>
      <c r="H731" s="8"/>
      <c r="I731" s="8"/>
      <c r="K731" s="8"/>
      <c r="L731" s="9"/>
      <c r="O731" s="13"/>
      <c r="P731" s="33"/>
      <c r="S731" s="33"/>
      <c r="T731" s="33"/>
    </row>
    <row r="732" ht="15.75" customHeight="1">
      <c r="B732" s="3"/>
      <c r="C732" s="5"/>
      <c r="D732" s="5"/>
      <c r="E732" s="5"/>
      <c r="K732" s="8"/>
      <c r="O732" s="39"/>
      <c r="P732" s="33"/>
      <c r="S732" s="33"/>
      <c r="T732" s="33"/>
    </row>
    <row r="733" ht="15.75" customHeight="1">
      <c r="B733" s="3"/>
      <c r="C733" s="5"/>
      <c r="D733" s="5"/>
      <c r="E733" s="5"/>
      <c r="K733" s="8"/>
      <c r="O733" s="39"/>
      <c r="P733" s="33"/>
      <c r="S733" s="33"/>
      <c r="T733" s="33"/>
    </row>
    <row r="734" ht="15.75" customHeight="1">
      <c r="B734" s="3"/>
      <c r="C734" s="5"/>
      <c r="D734" s="5"/>
      <c r="E734" s="5"/>
      <c r="K734" s="8"/>
      <c r="O734" s="39"/>
      <c r="P734" s="33"/>
      <c r="S734" s="33"/>
      <c r="T734" s="33"/>
    </row>
    <row r="735" ht="15.75" customHeight="1">
      <c r="B735" s="3"/>
      <c r="C735" s="5"/>
      <c r="D735" s="5"/>
      <c r="E735" s="5"/>
      <c r="K735" s="8"/>
      <c r="O735" s="39"/>
      <c r="P735" s="33"/>
      <c r="S735" s="33"/>
      <c r="T735" s="33"/>
    </row>
    <row r="736" ht="15.75" customHeight="1">
      <c r="B736" s="3"/>
      <c r="C736" s="5"/>
      <c r="D736" s="5"/>
      <c r="E736" s="5"/>
      <c r="K736" s="8"/>
      <c r="O736" s="39"/>
      <c r="P736" s="33"/>
      <c r="S736" s="33"/>
      <c r="T736" s="33"/>
    </row>
    <row r="737" ht="15.75" customHeight="1">
      <c r="B737" s="3"/>
      <c r="C737" s="5"/>
      <c r="D737" s="5"/>
      <c r="E737" s="5"/>
      <c r="K737" s="8"/>
      <c r="O737" s="39"/>
      <c r="P737" s="33"/>
      <c r="S737" s="33"/>
      <c r="T737" s="33"/>
    </row>
    <row r="738" ht="15.75" customHeight="1">
      <c r="B738" s="3"/>
      <c r="C738" s="5"/>
      <c r="D738" s="5"/>
      <c r="E738" s="5"/>
      <c r="K738" s="8"/>
      <c r="O738" s="39"/>
      <c r="P738" s="33"/>
      <c r="S738" s="33"/>
      <c r="T738" s="33"/>
    </row>
    <row r="739" ht="15.75" customHeight="1">
      <c r="B739" s="3"/>
      <c r="C739" s="5"/>
      <c r="D739" s="5"/>
      <c r="E739" s="5"/>
      <c r="K739" s="8"/>
      <c r="O739" s="39"/>
      <c r="P739" s="33"/>
      <c r="S739" s="33"/>
      <c r="T739" s="33"/>
    </row>
    <row r="740" ht="15.75" customHeight="1">
      <c r="B740" s="3"/>
      <c r="C740" s="5"/>
      <c r="D740" s="5"/>
      <c r="E740" s="5"/>
      <c r="K740" s="8"/>
      <c r="O740" s="39"/>
      <c r="P740" s="33"/>
      <c r="S740" s="33"/>
      <c r="T740" s="33"/>
    </row>
    <row r="741" ht="15.75" customHeight="1">
      <c r="B741" s="3"/>
      <c r="C741" s="5"/>
      <c r="D741" s="5"/>
      <c r="E741" s="5"/>
      <c r="K741" s="8"/>
      <c r="O741" s="39"/>
      <c r="P741" s="33"/>
      <c r="S741" s="33"/>
      <c r="T741" s="33"/>
    </row>
    <row r="742" ht="15.75" customHeight="1">
      <c r="B742" s="3"/>
      <c r="C742" s="5"/>
      <c r="D742" s="5"/>
      <c r="E742" s="5"/>
      <c r="K742" s="8"/>
      <c r="O742" s="39"/>
      <c r="P742" s="33"/>
      <c r="S742" s="33"/>
      <c r="T742" s="33"/>
    </row>
    <row r="743" ht="15.75" customHeight="1">
      <c r="B743" s="3"/>
      <c r="C743" s="5"/>
      <c r="D743" s="5"/>
      <c r="E743" s="5"/>
      <c r="K743" s="8"/>
      <c r="O743" s="39"/>
      <c r="P743" s="33"/>
      <c r="S743" s="33"/>
      <c r="T743" s="33"/>
    </row>
    <row r="744" ht="15.75" customHeight="1">
      <c r="B744" s="3"/>
      <c r="C744" s="5"/>
      <c r="D744" s="5"/>
      <c r="E744" s="5"/>
      <c r="K744" s="8"/>
      <c r="O744" s="39"/>
      <c r="P744" s="33"/>
      <c r="S744" s="33"/>
      <c r="T744" s="33"/>
    </row>
    <row r="745" ht="15.75" customHeight="1">
      <c r="B745" s="3"/>
      <c r="C745" s="5"/>
      <c r="D745" s="5"/>
      <c r="E745" s="5"/>
      <c r="K745" s="8"/>
      <c r="O745" s="39"/>
      <c r="P745" s="33"/>
      <c r="S745" s="33"/>
      <c r="T745" s="33"/>
    </row>
    <row r="746" ht="15.75" customHeight="1">
      <c r="B746" s="3"/>
      <c r="C746" s="5"/>
      <c r="D746" s="5"/>
      <c r="E746" s="5"/>
      <c r="K746" s="8"/>
      <c r="O746" s="39"/>
      <c r="P746" s="33"/>
      <c r="S746" s="33"/>
      <c r="T746" s="33"/>
    </row>
    <row r="747" ht="15.75" customHeight="1">
      <c r="B747" s="3"/>
      <c r="C747" s="5"/>
      <c r="D747" s="5"/>
      <c r="E747" s="5"/>
      <c r="K747" s="8"/>
      <c r="O747" s="39"/>
      <c r="P747" s="33"/>
      <c r="S747" s="33"/>
      <c r="T747" s="33"/>
    </row>
    <row r="748" ht="15.75" customHeight="1">
      <c r="B748" s="3"/>
      <c r="C748" s="5"/>
      <c r="D748" s="5"/>
      <c r="E748" s="5"/>
      <c r="K748" s="8"/>
      <c r="O748" s="39"/>
      <c r="P748" s="33"/>
      <c r="S748" s="33"/>
      <c r="T748" s="33"/>
    </row>
    <row r="749" ht="15.75" customHeight="1">
      <c r="B749" s="3"/>
      <c r="C749" s="5"/>
      <c r="D749" s="5"/>
      <c r="E749" s="5"/>
      <c r="K749" s="8"/>
      <c r="O749" s="39"/>
      <c r="P749" s="33"/>
      <c r="S749" s="33"/>
      <c r="T749" s="33"/>
    </row>
    <row r="750" ht="15.75" customHeight="1">
      <c r="B750" s="3"/>
      <c r="C750" s="5"/>
      <c r="D750" s="5"/>
      <c r="E750" s="5"/>
      <c r="K750" s="8"/>
      <c r="O750" s="39"/>
      <c r="P750" s="33"/>
      <c r="S750" s="33"/>
      <c r="T750" s="33"/>
    </row>
    <row r="751" ht="15.75" customHeight="1">
      <c r="B751" s="3"/>
      <c r="C751" s="5"/>
      <c r="D751" s="5"/>
      <c r="E751" s="5"/>
      <c r="K751" s="8"/>
      <c r="O751" s="39"/>
      <c r="P751" s="33"/>
      <c r="S751" s="33"/>
      <c r="T751" s="33"/>
    </row>
    <row r="752" ht="15.75" customHeight="1">
      <c r="B752" s="3"/>
      <c r="C752" s="5"/>
      <c r="D752" s="5"/>
      <c r="E752" s="5"/>
      <c r="K752" s="8"/>
      <c r="O752" s="39"/>
      <c r="P752" s="33"/>
      <c r="S752" s="33"/>
      <c r="T752" s="33"/>
    </row>
    <row r="753" ht="15.75" customHeight="1">
      <c r="B753" s="3"/>
      <c r="C753" s="5"/>
      <c r="D753" s="5"/>
      <c r="E753" s="5"/>
      <c r="K753" s="8"/>
      <c r="O753" s="39"/>
      <c r="P753" s="33"/>
      <c r="S753" s="33"/>
      <c r="T753" s="33"/>
    </row>
    <row r="754" ht="15.75" customHeight="1">
      <c r="B754" s="3"/>
      <c r="C754" s="5"/>
      <c r="D754" s="5"/>
      <c r="E754" s="5"/>
      <c r="K754" s="8"/>
      <c r="O754" s="39"/>
      <c r="P754" s="33"/>
      <c r="S754" s="33"/>
      <c r="T754" s="33"/>
    </row>
    <row r="755" ht="15.75" customHeight="1">
      <c r="B755" s="3"/>
      <c r="C755" s="5"/>
      <c r="D755" s="5"/>
      <c r="E755" s="5"/>
      <c r="K755" s="8"/>
      <c r="O755" s="39"/>
      <c r="P755" s="33"/>
      <c r="S755" s="33"/>
      <c r="T755" s="33"/>
    </row>
    <row r="756" ht="15.75" customHeight="1">
      <c r="B756" s="3"/>
      <c r="C756" s="5"/>
      <c r="D756" s="5"/>
      <c r="E756" s="5"/>
      <c r="K756" s="8"/>
      <c r="O756" s="39"/>
      <c r="P756" s="33"/>
      <c r="S756" s="33"/>
      <c r="T756" s="33"/>
    </row>
    <row r="757" ht="15.75" customHeight="1">
      <c r="B757" s="3"/>
      <c r="C757" s="5"/>
      <c r="D757" s="5"/>
      <c r="E757" s="5"/>
      <c r="K757" s="8"/>
      <c r="O757" s="39"/>
      <c r="P757" s="33"/>
      <c r="S757" s="33"/>
      <c r="T757" s="33"/>
    </row>
    <row r="758" ht="15.75" customHeight="1">
      <c r="B758" s="3"/>
      <c r="C758" s="5"/>
      <c r="D758" s="5"/>
      <c r="E758" s="5"/>
      <c r="K758" s="8"/>
      <c r="O758" s="39"/>
      <c r="P758" s="33"/>
      <c r="S758" s="33"/>
      <c r="T758" s="33"/>
    </row>
    <row r="759" ht="15.75" customHeight="1">
      <c r="B759" s="3"/>
      <c r="C759" s="5"/>
      <c r="D759" s="5"/>
      <c r="E759" s="5"/>
      <c r="K759" s="8"/>
      <c r="O759" s="39"/>
      <c r="P759" s="33"/>
      <c r="S759" s="33"/>
      <c r="T759" s="33"/>
    </row>
    <row r="760" ht="15.75" customHeight="1">
      <c r="B760" s="3"/>
      <c r="C760" s="5"/>
      <c r="D760" s="5"/>
      <c r="E760" s="5"/>
      <c r="K760" s="8"/>
      <c r="O760" s="39"/>
      <c r="P760" s="33"/>
      <c r="S760" s="33"/>
      <c r="T760" s="33"/>
    </row>
    <row r="761" ht="15.75" customHeight="1">
      <c r="B761" s="3"/>
      <c r="C761" s="5"/>
      <c r="D761" s="5"/>
      <c r="E761" s="5"/>
      <c r="K761" s="8"/>
      <c r="O761" s="39"/>
      <c r="P761" s="33"/>
      <c r="S761" s="33"/>
      <c r="T761" s="33"/>
    </row>
    <row r="762" ht="15.75" customHeight="1">
      <c r="B762" s="3"/>
      <c r="C762" s="5"/>
      <c r="D762" s="5"/>
      <c r="E762" s="5"/>
      <c r="K762" s="8"/>
      <c r="O762" s="39"/>
      <c r="P762" s="33"/>
      <c r="S762" s="33"/>
      <c r="T762" s="33"/>
    </row>
    <row r="763" ht="15.75" customHeight="1">
      <c r="B763" s="3"/>
      <c r="C763" s="5"/>
      <c r="D763" s="5"/>
      <c r="E763" s="5"/>
      <c r="K763" s="8"/>
      <c r="O763" s="39"/>
      <c r="P763" s="33"/>
      <c r="S763" s="33"/>
      <c r="T763" s="33"/>
    </row>
    <row r="764" ht="15.75" customHeight="1">
      <c r="B764" s="3"/>
      <c r="C764" s="5"/>
      <c r="D764" s="5"/>
      <c r="E764" s="5"/>
      <c r="K764" s="8"/>
      <c r="O764" s="39"/>
      <c r="P764" s="33"/>
      <c r="S764" s="33"/>
      <c r="T764" s="33"/>
    </row>
    <row r="765" ht="15.75" customHeight="1">
      <c r="B765" s="3"/>
      <c r="C765" s="5"/>
      <c r="D765" s="5"/>
      <c r="E765" s="5"/>
      <c r="K765" s="8"/>
      <c r="O765" s="39"/>
      <c r="P765" s="33"/>
      <c r="S765" s="33"/>
      <c r="T765" s="33"/>
    </row>
    <row r="766" ht="15.75" customHeight="1">
      <c r="B766" s="3"/>
      <c r="C766" s="5"/>
      <c r="D766" s="5"/>
      <c r="E766" s="5"/>
      <c r="K766" s="8"/>
      <c r="O766" s="39"/>
      <c r="P766" s="33"/>
      <c r="S766" s="33"/>
      <c r="T766" s="33"/>
    </row>
    <row r="767" ht="15.75" customHeight="1">
      <c r="B767" s="3"/>
      <c r="C767" s="5"/>
      <c r="D767" s="5"/>
      <c r="E767" s="5"/>
      <c r="K767" s="8"/>
      <c r="O767" s="39"/>
      <c r="P767" s="33"/>
      <c r="S767" s="33"/>
      <c r="T767" s="33"/>
    </row>
    <row r="768" ht="15.75" customHeight="1">
      <c r="B768" s="3"/>
      <c r="C768" s="5"/>
      <c r="D768" s="5"/>
      <c r="E768" s="5"/>
      <c r="K768" s="8"/>
      <c r="O768" s="39"/>
      <c r="P768" s="33"/>
      <c r="S768" s="33"/>
      <c r="T768" s="33"/>
    </row>
    <row r="769" ht="15.75" customHeight="1">
      <c r="B769" s="3"/>
      <c r="C769" s="5"/>
      <c r="D769" s="5"/>
      <c r="E769" s="5"/>
      <c r="K769" s="8"/>
      <c r="O769" s="39"/>
      <c r="P769" s="33"/>
      <c r="S769" s="33"/>
      <c r="T769" s="33"/>
    </row>
    <row r="770" ht="15.75" customHeight="1">
      <c r="B770" s="3"/>
      <c r="C770" s="5"/>
      <c r="D770" s="5"/>
      <c r="E770" s="5"/>
      <c r="K770" s="8"/>
      <c r="O770" s="39"/>
      <c r="P770" s="33"/>
      <c r="S770" s="33"/>
      <c r="T770" s="33"/>
    </row>
    <row r="771" ht="15.75" customHeight="1">
      <c r="B771" s="3"/>
      <c r="C771" s="5"/>
      <c r="D771" s="5"/>
      <c r="E771" s="5"/>
      <c r="K771" s="8"/>
      <c r="O771" s="39"/>
      <c r="P771" s="33"/>
      <c r="S771" s="33"/>
      <c r="T771" s="33"/>
    </row>
    <row r="772" ht="15.75" customHeight="1">
      <c r="B772" s="3"/>
      <c r="C772" s="5"/>
      <c r="D772" s="5"/>
      <c r="E772" s="5"/>
      <c r="K772" s="8"/>
      <c r="O772" s="39"/>
      <c r="P772" s="33"/>
      <c r="S772" s="33"/>
      <c r="T772" s="33"/>
    </row>
    <row r="773" ht="15.75" customHeight="1">
      <c r="B773" s="3"/>
      <c r="C773" s="5"/>
      <c r="D773" s="5"/>
      <c r="E773" s="5"/>
      <c r="K773" s="8"/>
      <c r="O773" s="39"/>
      <c r="P773" s="33"/>
      <c r="S773" s="33"/>
      <c r="T773" s="33"/>
    </row>
    <row r="774" ht="15.75" customHeight="1">
      <c r="B774" s="3"/>
      <c r="C774" s="5"/>
      <c r="D774" s="5"/>
      <c r="E774" s="5"/>
      <c r="K774" s="8"/>
      <c r="O774" s="39"/>
      <c r="P774" s="33"/>
      <c r="S774" s="33"/>
      <c r="T774" s="33"/>
    </row>
    <row r="775" ht="15.75" customHeight="1">
      <c r="B775" s="3"/>
      <c r="C775" s="5"/>
      <c r="D775" s="5"/>
      <c r="E775" s="5"/>
      <c r="K775" s="8"/>
      <c r="O775" s="39"/>
      <c r="P775" s="33"/>
      <c r="S775" s="33"/>
      <c r="T775" s="33"/>
    </row>
    <row r="776" ht="15.75" customHeight="1">
      <c r="B776" s="3"/>
      <c r="C776" s="5"/>
      <c r="D776" s="5"/>
      <c r="E776" s="5"/>
      <c r="K776" s="8"/>
      <c r="O776" s="39"/>
      <c r="P776" s="33"/>
      <c r="S776" s="33"/>
      <c r="T776" s="33"/>
    </row>
    <row r="777" ht="15.75" customHeight="1">
      <c r="B777" s="3"/>
      <c r="C777" s="5"/>
      <c r="D777" s="5"/>
      <c r="E777" s="5"/>
      <c r="K777" s="8"/>
      <c r="O777" s="39"/>
      <c r="P777" s="33"/>
      <c r="S777" s="33"/>
      <c r="T777" s="33"/>
    </row>
    <row r="778" ht="15.75" customHeight="1">
      <c r="B778" s="3"/>
      <c r="C778" s="5"/>
      <c r="D778" s="5"/>
      <c r="E778" s="5"/>
      <c r="K778" s="8"/>
      <c r="O778" s="39"/>
      <c r="P778" s="33"/>
      <c r="S778" s="33"/>
      <c r="T778" s="33"/>
    </row>
    <row r="779" ht="15.75" customHeight="1">
      <c r="B779" s="3"/>
      <c r="C779" s="5"/>
      <c r="D779" s="5"/>
      <c r="E779" s="5"/>
      <c r="K779" s="8"/>
      <c r="O779" s="39"/>
      <c r="P779" s="33"/>
      <c r="S779" s="33"/>
      <c r="T779" s="33"/>
    </row>
    <row r="780" ht="15.75" customHeight="1">
      <c r="B780" s="3"/>
      <c r="C780" s="5"/>
      <c r="D780" s="5"/>
      <c r="E780" s="5"/>
      <c r="K780" s="8"/>
      <c r="O780" s="39"/>
      <c r="P780" s="33"/>
      <c r="S780" s="33"/>
      <c r="T780" s="33"/>
    </row>
    <row r="781" ht="15.75" customHeight="1">
      <c r="B781" s="3"/>
      <c r="C781" s="5"/>
      <c r="D781" s="5"/>
      <c r="E781" s="5"/>
      <c r="K781" s="8"/>
      <c r="O781" s="39"/>
      <c r="P781" s="33"/>
      <c r="S781" s="33"/>
      <c r="T781" s="33"/>
    </row>
    <row r="782" ht="15.75" customHeight="1">
      <c r="B782" s="3"/>
      <c r="C782" s="5"/>
      <c r="D782" s="5"/>
      <c r="E782" s="5"/>
      <c r="K782" s="8"/>
      <c r="O782" s="39"/>
      <c r="P782" s="33"/>
      <c r="S782" s="33"/>
      <c r="T782" s="33"/>
    </row>
    <row r="783" ht="15.75" customHeight="1">
      <c r="B783" s="3"/>
      <c r="C783" s="5"/>
      <c r="D783" s="5"/>
      <c r="E783" s="5"/>
      <c r="K783" s="8"/>
      <c r="O783" s="39"/>
      <c r="P783" s="33"/>
      <c r="S783" s="33"/>
      <c r="T783" s="33"/>
    </row>
    <row r="784" ht="15.75" customHeight="1">
      <c r="B784" s="3"/>
      <c r="C784" s="5"/>
      <c r="D784" s="5"/>
      <c r="E784" s="5"/>
      <c r="K784" s="8"/>
      <c r="O784" s="39"/>
      <c r="P784" s="33"/>
      <c r="S784" s="33"/>
      <c r="T784" s="33"/>
    </row>
    <row r="785" ht="15.75" customHeight="1">
      <c r="B785" s="3"/>
      <c r="C785" s="5"/>
      <c r="D785" s="5"/>
      <c r="E785" s="5"/>
      <c r="K785" s="8"/>
      <c r="O785" s="39"/>
      <c r="P785" s="33"/>
      <c r="S785" s="33"/>
      <c r="T785" s="33"/>
    </row>
    <row r="786" ht="15.75" customHeight="1">
      <c r="B786" s="3"/>
      <c r="C786" s="5"/>
      <c r="D786" s="5"/>
      <c r="E786" s="5"/>
      <c r="K786" s="8"/>
      <c r="O786" s="39"/>
      <c r="P786" s="33"/>
      <c r="S786" s="33"/>
      <c r="T786" s="33"/>
    </row>
    <row r="787" ht="15.75" customHeight="1">
      <c r="B787" s="3"/>
      <c r="C787" s="5"/>
      <c r="D787" s="5"/>
      <c r="E787" s="5"/>
      <c r="K787" s="8"/>
      <c r="O787" s="39"/>
      <c r="P787" s="33"/>
      <c r="S787" s="33"/>
      <c r="T787" s="33"/>
    </row>
    <row r="788" ht="15.75" customHeight="1">
      <c r="B788" s="3"/>
      <c r="C788" s="5"/>
      <c r="D788" s="5"/>
      <c r="E788" s="5"/>
      <c r="K788" s="8"/>
      <c r="O788" s="39"/>
      <c r="P788" s="33"/>
      <c r="S788" s="33"/>
      <c r="T788" s="33"/>
    </row>
    <row r="789" ht="15.75" customHeight="1">
      <c r="B789" s="3"/>
      <c r="C789" s="5"/>
      <c r="D789" s="5"/>
      <c r="E789" s="5"/>
      <c r="K789" s="8"/>
      <c r="O789" s="39"/>
      <c r="P789" s="33"/>
      <c r="S789" s="33"/>
      <c r="T789" s="33"/>
    </row>
    <row r="790" ht="15.75" customHeight="1">
      <c r="B790" s="3"/>
      <c r="C790" s="5"/>
      <c r="D790" s="5"/>
      <c r="E790" s="5"/>
      <c r="K790" s="8"/>
      <c r="O790" s="39"/>
      <c r="P790" s="33"/>
      <c r="S790" s="33"/>
      <c r="T790" s="33"/>
    </row>
    <row r="791" ht="15.75" customHeight="1">
      <c r="B791" s="3"/>
      <c r="C791" s="5"/>
      <c r="D791" s="5"/>
      <c r="E791" s="5"/>
      <c r="K791" s="8"/>
      <c r="O791" s="39"/>
      <c r="P791" s="33"/>
      <c r="S791" s="33"/>
      <c r="T791" s="33"/>
    </row>
    <row r="792" ht="15.75" customHeight="1">
      <c r="B792" s="3"/>
      <c r="C792" s="5"/>
      <c r="D792" s="5"/>
      <c r="E792" s="5"/>
      <c r="K792" s="8"/>
      <c r="O792" s="39"/>
      <c r="P792" s="33"/>
      <c r="S792" s="33"/>
      <c r="T792" s="33"/>
    </row>
    <row r="793" ht="15.75" customHeight="1">
      <c r="B793" s="3"/>
      <c r="C793" s="5"/>
      <c r="D793" s="5"/>
      <c r="E793" s="5"/>
      <c r="K793" s="8"/>
      <c r="O793" s="39"/>
      <c r="P793" s="33"/>
      <c r="S793" s="33"/>
      <c r="T793" s="33"/>
    </row>
    <row r="794" ht="15.75" customHeight="1">
      <c r="B794" s="3"/>
      <c r="C794" s="5"/>
      <c r="D794" s="5"/>
      <c r="E794" s="5"/>
      <c r="K794" s="8"/>
      <c r="O794" s="39"/>
      <c r="P794" s="33"/>
      <c r="S794" s="33"/>
      <c r="T794" s="33"/>
    </row>
    <row r="795" ht="15.75" customHeight="1">
      <c r="B795" s="3"/>
      <c r="C795" s="5"/>
      <c r="D795" s="5"/>
      <c r="E795" s="5"/>
      <c r="K795" s="8"/>
      <c r="O795" s="39"/>
      <c r="P795" s="33"/>
      <c r="S795" s="33"/>
      <c r="T795" s="33"/>
    </row>
    <row r="796" ht="15.75" customHeight="1">
      <c r="B796" s="3"/>
      <c r="C796" s="5"/>
      <c r="D796" s="5"/>
      <c r="E796" s="5"/>
      <c r="K796" s="8"/>
      <c r="O796" s="39"/>
      <c r="P796" s="33"/>
      <c r="S796" s="33"/>
      <c r="T796" s="33"/>
    </row>
    <row r="797" ht="15.75" customHeight="1">
      <c r="B797" s="3"/>
      <c r="C797" s="5"/>
      <c r="D797" s="5"/>
      <c r="E797" s="5"/>
      <c r="K797" s="8"/>
      <c r="O797" s="39"/>
      <c r="P797" s="33"/>
      <c r="S797" s="33"/>
      <c r="T797" s="33"/>
    </row>
    <row r="798" ht="15.75" customHeight="1">
      <c r="B798" s="3"/>
      <c r="C798" s="5"/>
      <c r="D798" s="5"/>
      <c r="E798" s="5"/>
      <c r="K798" s="8"/>
      <c r="O798" s="39"/>
      <c r="P798" s="33"/>
      <c r="S798" s="33"/>
      <c r="T798" s="33"/>
    </row>
    <row r="799" ht="15.75" customHeight="1">
      <c r="B799" s="3"/>
      <c r="C799" s="5"/>
      <c r="D799" s="5"/>
      <c r="E799" s="5"/>
      <c r="K799" s="8"/>
      <c r="O799" s="39"/>
      <c r="P799" s="33"/>
      <c r="S799" s="33"/>
      <c r="T799" s="33"/>
    </row>
    <row r="800" ht="15.75" customHeight="1">
      <c r="B800" s="3"/>
      <c r="C800" s="5"/>
      <c r="D800" s="5"/>
      <c r="E800" s="5"/>
      <c r="K800" s="8"/>
      <c r="O800" s="39"/>
      <c r="P800" s="33"/>
      <c r="S800" s="33"/>
      <c r="T800" s="33"/>
    </row>
    <row r="801" ht="15.75" customHeight="1">
      <c r="B801" s="3"/>
      <c r="C801" s="5"/>
      <c r="D801" s="5"/>
      <c r="E801" s="5"/>
      <c r="K801" s="8"/>
      <c r="O801" s="39"/>
      <c r="P801" s="33"/>
      <c r="S801" s="33"/>
      <c r="T801" s="33"/>
    </row>
    <row r="802" ht="15.75" customHeight="1">
      <c r="B802" s="3"/>
      <c r="C802" s="5"/>
      <c r="D802" s="5"/>
      <c r="E802" s="5"/>
      <c r="K802" s="8"/>
      <c r="O802" s="39"/>
      <c r="P802" s="33"/>
      <c r="S802" s="33"/>
      <c r="T802" s="33"/>
    </row>
    <row r="803" ht="15.75" customHeight="1">
      <c r="B803" s="3"/>
      <c r="C803" s="5"/>
      <c r="D803" s="5"/>
      <c r="E803" s="5"/>
      <c r="K803" s="8"/>
      <c r="O803" s="39"/>
      <c r="P803" s="33"/>
      <c r="S803" s="33"/>
      <c r="T803" s="33"/>
    </row>
    <row r="804" ht="15.75" customHeight="1">
      <c r="B804" s="3"/>
      <c r="C804" s="5"/>
      <c r="D804" s="5"/>
      <c r="E804" s="5"/>
      <c r="K804" s="8"/>
      <c r="O804" s="39"/>
      <c r="P804" s="33"/>
      <c r="S804" s="33"/>
      <c r="T804" s="33"/>
    </row>
    <row r="805" ht="15.75" customHeight="1">
      <c r="B805" s="3"/>
      <c r="C805" s="5"/>
      <c r="D805" s="5"/>
      <c r="E805" s="5"/>
      <c r="K805" s="8"/>
      <c r="O805" s="39"/>
      <c r="P805" s="33"/>
      <c r="S805" s="33"/>
      <c r="T805" s="33"/>
    </row>
    <row r="806" ht="15.75" customHeight="1">
      <c r="B806" s="3"/>
      <c r="C806" s="5"/>
      <c r="D806" s="5"/>
      <c r="E806" s="5"/>
      <c r="K806" s="8"/>
      <c r="O806" s="39"/>
      <c r="P806" s="33"/>
      <c r="S806" s="33"/>
      <c r="T806" s="33"/>
    </row>
    <row r="807" ht="15.75" customHeight="1">
      <c r="B807" s="3"/>
      <c r="C807" s="5"/>
      <c r="D807" s="5"/>
      <c r="E807" s="5"/>
      <c r="K807" s="8"/>
      <c r="O807" s="39"/>
      <c r="P807" s="33"/>
      <c r="S807" s="33"/>
      <c r="T807" s="33"/>
    </row>
    <row r="808" ht="15.75" customHeight="1">
      <c r="B808" s="3"/>
      <c r="C808" s="5"/>
      <c r="D808" s="5"/>
      <c r="E808" s="5"/>
      <c r="K808" s="8"/>
      <c r="O808" s="39"/>
      <c r="P808" s="33"/>
      <c r="S808" s="33"/>
      <c r="T808" s="33"/>
    </row>
    <row r="809" ht="15.75" customHeight="1">
      <c r="B809" s="3"/>
      <c r="C809" s="5"/>
      <c r="D809" s="5"/>
      <c r="E809" s="5"/>
      <c r="K809" s="8"/>
      <c r="O809" s="39"/>
      <c r="P809" s="33"/>
      <c r="S809" s="33"/>
      <c r="T809" s="33"/>
    </row>
    <row r="810" ht="15.75" customHeight="1">
      <c r="B810" s="3"/>
      <c r="C810" s="5"/>
      <c r="D810" s="5"/>
      <c r="E810" s="5"/>
      <c r="K810" s="8"/>
      <c r="O810" s="39"/>
      <c r="P810" s="33"/>
      <c r="S810" s="33"/>
      <c r="T810" s="33"/>
    </row>
    <row r="811" ht="15.75" customHeight="1">
      <c r="B811" s="3"/>
      <c r="C811" s="5"/>
      <c r="D811" s="5"/>
      <c r="E811" s="5"/>
      <c r="K811" s="8"/>
      <c r="O811" s="39"/>
      <c r="P811" s="33"/>
      <c r="S811" s="33"/>
      <c r="T811" s="33"/>
    </row>
    <row r="812" ht="15.75" customHeight="1">
      <c r="B812" s="3"/>
      <c r="C812" s="5"/>
      <c r="D812" s="5"/>
      <c r="E812" s="5"/>
      <c r="K812" s="8"/>
      <c r="O812" s="39"/>
      <c r="P812" s="33"/>
      <c r="S812" s="33"/>
      <c r="T812" s="33"/>
    </row>
    <row r="813" ht="15.75" customHeight="1">
      <c r="B813" s="3"/>
      <c r="C813" s="5"/>
      <c r="D813" s="5"/>
      <c r="E813" s="5"/>
      <c r="K813" s="8"/>
      <c r="O813" s="39"/>
      <c r="P813" s="33"/>
      <c r="S813" s="33"/>
      <c r="T813" s="33"/>
    </row>
    <row r="814" ht="15.75" customHeight="1">
      <c r="B814" s="3"/>
      <c r="C814" s="5"/>
      <c r="D814" s="5"/>
      <c r="E814" s="5"/>
      <c r="K814" s="8"/>
      <c r="O814" s="39"/>
      <c r="P814" s="33"/>
      <c r="S814" s="33"/>
      <c r="T814" s="33"/>
    </row>
    <row r="815" ht="15.75" customHeight="1">
      <c r="B815" s="3"/>
      <c r="C815" s="5"/>
      <c r="D815" s="5"/>
      <c r="E815" s="5"/>
      <c r="K815" s="8"/>
      <c r="O815" s="39"/>
      <c r="P815" s="33"/>
      <c r="S815" s="33"/>
      <c r="T815" s="33"/>
    </row>
    <row r="816" ht="15.75" customHeight="1">
      <c r="B816" s="3"/>
      <c r="C816" s="5"/>
      <c r="D816" s="5"/>
      <c r="E816" s="5"/>
      <c r="K816" s="8"/>
      <c r="O816" s="39"/>
      <c r="P816" s="33"/>
      <c r="S816" s="33"/>
      <c r="T816" s="33"/>
    </row>
    <row r="817" ht="15.75" customHeight="1">
      <c r="B817" s="3"/>
      <c r="C817" s="5"/>
      <c r="D817" s="5"/>
      <c r="E817" s="5"/>
      <c r="K817" s="8"/>
      <c r="O817" s="39"/>
      <c r="P817" s="33"/>
      <c r="S817" s="33"/>
      <c r="T817" s="33"/>
    </row>
    <row r="818" ht="15.75" customHeight="1">
      <c r="B818" s="3"/>
      <c r="C818" s="5"/>
      <c r="D818" s="5"/>
      <c r="E818" s="5"/>
      <c r="K818" s="8"/>
      <c r="O818" s="39"/>
      <c r="P818" s="33"/>
      <c r="S818" s="33"/>
      <c r="T818" s="33"/>
    </row>
    <row r="819" ht="15.75" customHeight="1">
      <c r="B819" s="3"/>
      <c r="C819" s="5"/>
      <c r="D819" s="5"/>
      <c r="E819" s="5"/>
      <c r="K819" s="8"/>
      <c r="O819" s="39"/>
      <c r="P819" s="33"/>
      <c r="S819" s="33"/>
      <c r="T819" s="33"/>
    </row>
    <row r="820" ht="15.75" customHeight="1">
      <c r="B820" s="3"/>
      <c r="C820" s="5"/>
      <c r="D820" s="5"/>
      <c r="E820" s="5"/>
      <c r="K820" s="8"/>
      <c r="O820" s="39"/>
      <c r="P820" s="33"/>
      <c r="S820" s="33"/>
      <c r="T820" s="33"/>
    </row>
    <row r="821" ht="15.75" customHeight="1">
      <c r="B821" s="3"/>
      <c r="C821" s="5"/>
      <c r="D821" s="5"/>
      <c r="E821" s="5"/>
      <c r="K821" s="8"/>
      <c r="O821" s="39"/>
      <c r="P821" s="33"/>
      <c r="S821" s="33"/>
      <c r="T821" s="33"/>
    </row>
    <row r="822" ht="15.75" customHeight="1">
      <c r="B822" s="3"/>
      <c r="C822" s="5"/>
      <c r="D822" s="5"/>
      <c r="E822" s="5"/>
      <c r="K822" s="8"/>
      <c r="O822" s="39"/>
      <c r="P822" s="33"/>
      <c r="S822" s="33"/>
      <c r="T822" s="33"/>
    </row>
    <row r="823" ht="15.75" customHeight="1">
      <c r="B823" s="3"/>
      <c r="C823" s="5"/>
      <c r="D823" s="5"/>
      <c r="E823" s="5"/>
      <c r="K823" s="8"/>
      <c r="O823" s="39"/>
      <c r="P823" s="33"/>
      <c r="S823" s="33"/>
      <c r="T823" s="33"/>
    </row>
    <row r="824" ht="15.75" customHeight="1">
      <c r="B824" s="3"/>
      <c r="C824" s="5"/>
      <c r="D824" s="5"/>
      <c r="E824" s="5"/>
      <c r="K824" s="8"/>
      <c r="O824" s="39"/>
      <c r="P824" s="33"/>
      <c r="S824" s="33"/>
      <c r="T824" s="33"/>
    </row>
    <row r="825" ht="15.75" customHeight="1">
      <c r="B825" s="3"/>
      <c r="C825" s="5"/>
      <c r="D825" s="5"/>
      <c r="E825" s="5"/>
      <c r="K825" s="8"/>
      <c r="O825" s="39"/>
      <c r="P825" s="33"/>
      <c r="S825" s="33"/>
      <c r="T825" s="33"/>
    </row>
    <row r="826" ht="15.75" customHeight="1">
      <c r="B826" s="3"/>
      <c r="C826" s="5"/>
      <c r="D826" s="5"/>
      <c r="E826" s="5"/>
      <c r="K826" s="8"/>
      <c r="O826" s="39"/>
      <c r="P826" s="33"/>
      <c r="S826" s="33"/>
      <c r="T826" s="33"/>
    </row>
    <row r="827" ht="15.75" customHeight="1">
      <c r="B827" s="3"/>
      <c r="C827" s="5"/>
      <c r="D827" s="5"/>
      <c r="E827" s="5"/>
      <c r="K827" s="8"/>
      <c r="O827" s="39"/>
      <c r="P827" s="33"/>
      <c r="S827" s="33"/>
      <c r="T827" s="33"/>
    </row>
    <row r="828" ht="15.75" customHeight="1">
      <c r="B828" s="3"/>
      <c r="C828" s="5"/>
      <c r="D828" s="5"/>
      <c r="E828" s="5"/>
      <c r="K828" s="8"/>
      <c r="O828" s="39"/>
      <c r="P828" s="33"/>
      <c r="S828" s="33"/>
      <c r="T828" s="33"/>
    </row>
    <row r="829" ht="15.75" customHeight="1">
      <c r="B829" s="3"/>
      <c r="C829" s="5"/>
      <c r="D829" s="5"/>
      <c r="E829" s="5"/>
      <c r="K829" s="8"/>
      <c r="O829" s="39"/>
      <c r="P829" s="33"/>
      <c r="S829" s="33"/>
      <c r="T829" s="33"/>
    </row>
    <row r="830" ht="15.75" customHeight="1">
      <c r="B830" s="3"/>
      <c r="C830" s="5"/>
      <c r="D830" s="5"/>
      <c r="E830" s="5"/>
      <c r="K830" s="8"/>
      <c r="O830" s="39"/>
      <c r="P830" s="33"/>
      <c r="S830" s="33"/>
      <c r="T830" s="33"/>
    </row>
    <row r="831" ht="15.75" customHeight="1">
      <c r="B831" s="3"/>
      <c r="C831" s="5"/>
      <c r="D831" s="5"/>
      <c r="E831" s="5"/>
      <c r="K831" s="8"/>
      <c r="O831" s="39"/>
      <c r="P831" s="33"/>
      <c r="S831" s="33"/>
      <c r="T831" s="33"/>
    </row>
    <row r="832" ht="15.75" customHeight="1">
      <c r="B832" s="3"/>
      <c r="C832" s="5"/>
      <c r="D832" s="5"/>
      <c r="E832" s="5"/>
      <c r="K832" s="8"/>
      <c r="O832" s="39"/>
      <c r="P832" s="33"/>
      <c r="S832" s="33"/>
      <c r="T832" s="33"/>
    </row>
    <row r="833" ht="15.75" customHeight="1">
      <c r="B833" s="3"/>
      <c r="C833" s="5"/>
      <c r="D833" s="5"/>
      <c r="E833" s="5"/>
      <c r="K833" s="8"/>
      <c r="O833" s="39"/>
      <c r="P833" s="33"/>
      <c r="S833" s="33"/>
      <c r="T833" s="33"/>
    </row>
    <row r="834" ht="15.75" customHeight="1">
      <c r="B834" s="3"/>
      <c r="C834" s="5"/>
      <c r="D834" s="5"/>
      <c r="E834" s="5"/>
      <c r="K834" s="8"/>
      <c r="O834" s="39"/>
      <c r="P834" s="33"/>
      <c r="S834" s="33"/>
      <c r="T834" s="33"/>
    </row>
    <row r="835" ht="15.75" customHeight="1">
      <c r="B835" s="3"/>
      <c r="C835" s="5"/>
      <c r="D835" s="5"/>
      <c r="E835" s="5"/>
      <c r="K835" s="8"/>
      <c r="O835" s="39"/>
      <c r="P835" s="33"/>
      <c r="S835" s="33"/>
      <c r="T835" s="33"/>
    </row>
    <row r="836" ht="15.75" customHeight="1">
      <c r="B836" s="3"/>
      <c r="C836" s="5"/>
      <c r="D836" s="5"/>
      <c r="E836" s="5"/>
      <c r="K836" s="8"/>
      <c r="O836" s="39"/>
      <c r="P836" s="33"/>
      <c r="S836" s="33"/>
      <c r="T836" s="33"/>
    </row>
    <row r="837" ht="15.75" customHeight="1">
      <c r="B837" s="3"/>
      <c r="C837" s="5"/>
      <c r="D837" s="5"/>
      <c r="E837" s="5"/>
      <c r="K837" s="8"/>
      <c r="O837" s="39"/>
      <c r="P837" s="33"/>
      <c r="S837" s="33"/>
      <c r="T837" s="33"/>
    </row>
    <row r="838" ht="15.75" customHeight="1">
      <c r="B838" s="3"/>
      <c r="C838" s="5"/>
      <c r="D838" s="5"/>
      <c r="E838" s="5"/>
      <c r="K838" s="8"/>
      <c r="O838" s="39"/>
      <c r="P838" s="33"/>
      <c r="S838" s="33"/>
      <c r="T838" s="33"/>
    </row>
    <row r="839" ht="15.75" customHeight="1">
      <c r="B839" s="3"/>
      <c r="C839" s="5"/>
      <c r="D839" s="5"/>
      <c r="E839" s="5"/>
      <c r="K839" s="8"/>
      <c r="O839" s="39"/>
      <c r="P839" s="33"/>
      <c r="S839" s="33"/>
      <c r="T839" s="33"/>
    </row>
    <row r="840" ht="15.75" customHeight="1">
      <c r="B840" s="3"/>
      <c r="C840" s="5"/>
      <c r="D840" s="5"/>
      <c r="E840" s="5"/>
      <c r="K840" s="8"/>
      <c r="O840" s="39"/>
      <c r="P840" s="33"/>
      <c r="S840" s="33"/>
      <c r="T840" s="33"/>
    </row>
    <row r="841" ht="15.75" customHeight="1">
      <c r="B841" s="3"/>
      <c r="C841" s="5"/>
      <c r="D841" s="5"/>
      <c r="E841" s="5"/>
      <c r="K841" s="8"/>
      <c r="O841" s="39"/>
      <c r="P841" s="33"/>
      <c r="S841" s="33"/>
      <c r="T841" s="33"/>
    </row>
    <row r="842" ht="15.75" customHeight="1">
      <c r="B842" s="3"/>
      <c r="C842" s="5"/>
      <c r="D842" s="5"/>
      <c r="E842" s="5"/>
      <c r="K842" s="8"/>
      <c r="O842" s="39"/>
      <c r="P842" s="33"/>
      <c r="S842" s="33"/>
      <c r="T842" s="33"/>
    </row>
    <row r="843" ht="15.75" customHeight="1">
      <c r="B843" s="3"/>
      <c r="C843" s="5"/>
      <c r="D843" s="5"/>
      <c r="E843" s="5"/>
      <c r="K843" s="8"/>
      <c r="O843" s="39"/>
      <c r="P843" s="33"/>
      <c r="S843" s="33"/>
      <c r="T843" s="33"/>
    </row>
    <row r="844" ht="15.75" customHeight="1">
      <c r="B844" s="3"/>
      <c r="C844" s="5"/>
      <c r="D844" s="5"/>
      <c r="E844" s="5"/>
      <c r="K844" s="8"/>
      <c r="O844" s="39"/>
      <c r="P844" s="33"/>
      <c r="S844" s="33"/>
      <c r="T844" s="33"/>
    </row>
    <row r="845" ht="15.75" customHeight="1">
      <c r="B845" s="3"/>
      <c r="C845" s="5"/>
      <c r="D845" s="5"/>
      <c r="E845" s="5"/>
      <c r="K845" s="8"/>
      <c r="O845" s="39"/>
      <c r="P845" s="33"/>
      <c r="S845" s="33"/>
      <c r="T845" s="33"/>
    </row>
    <row r="846" ht="15.75" customHeight="1">
      <c r="B846" s="3"/>
      <c r="C846" s="5"/>
      <c r="D846" s="5"/>
      <c r="E846" s="5"/>
      <c r="K846" s="8"/>
      <c r="O846" s="39"/>
      <c r="P846" s="33"/>
      <c r="S846" s="33"/>
      <c r="T846" s="33"/>
    </row>
    <row r="847" ht="15.75" customHeight="1">
      <c r="B847" s="3"/>
      <c r="C847" s="5"/>
      <c r="D847" s="5"/>
      <c r="E847" s="5"/>
      <c r="K847" s="8"/>
      <c r="O847" s="39"/>
      <c r="P847" s="33"/>
      <c r="S847" s="33"/>
      <c r="T847" s="33"/>
    </row>
    <row r="848" ht="15.75" customHeight="1">
      <c r="B848" s="3"/>
      <c r="C848" s="5"/>
      <c r="D848" s="5"/>
      <c r="E848" s="5"/>
      <c r="K848" s="8"/>
      <c r="O848" s="39"/>
      <c r="P848" s="33"/>
      <c r="S848" s="33"/>
      <c r="T848" s="33"/>
    </row>
    <row r="849" ht="15.75" customHeight="1">
      <c r="B849" s="3"/>
      <c r="C849" s="5"/>
      <c r="D849" s="5"/>
      <c r="E849" s="5"/>
      <c r="K849" s="8"/>
      <c r="O849" s="39"/>
      <c r="P849" s="33"/>
      <c r="S849" s="33"/>
      <c r="T849" s="33"/>
    </row>
    <row r="850" ht="15.75" customHeight="1">
      <c r="B850" s="3"/>
      <c r="C850" s="5"/>
      <c r="D850" s="5"/>
      <c r="E850" s="5"/>
      <c r="K850" s="8"/>
      <c r="O850" s="39"/>
      <c r="P850" s="33"/>
      <c r="S850" s="33"/>
      <c r="T850" s="33"/>
    </row>
    <row r="851" ht="15.75" customHeight="1">
      <c r="B851" s="3"/>
      <c r="C851" s="5"/>
      <c r="D851" s="5"/>
      <c r="E851" s="5"/>
      <c r="K851" s="8"/>
      <c r="O851" s="39"/>
      <c r="P851" s="33"/>
      <c r="S851" s="33"/>
      <c r="T851" s="33"/>
    </row>
    <row r="852" ht="15.75" customHeight="1">
      <c r="B852" s="3"/>
      <c r="C852" s="5"/>
      <c r="D852" s="5"/>
      <c r="E852" s="5"/>
      <c r="K852" s="8"/>
      <c r="O852" s="39"/>
      <c r="P852" s="33"/>
      <c r="S852" s="33"/>
      <c r="T852" s="33"/>
    </row>
    <row r="853" ht="15.75" customHeight="1">
      <c r="B853" s="3"/>
      <c r="C853" s="5"/>
      <c r="D853" s="5"/>
      <c r="E853" s="5"/>
      <c r="K853" s="8"/>
      <c r="O853" s="39"/>
      <c r="P853" s="33"/>
      <c r="S853" s="33"/>
      <c r="T853" s="33"/>
    </row>
    <row r="854" ht="15.75" customHeight="1">
      <c r="B854" s="3"/>
      <c r="C854" s="5"/>
      <c r="D854" s="5"/>
      <c r="E854" s="5"/>
      <c r="K854" s="8"/>
      <c r="O854" s="39"/>
      <c r="P854" s="33"/>
      <c r="S854" s="33"/>
      <c r="T854" s="33"/>
    </row>
    <row r="855" ht="15.75" customHeight="1">
      <c r="B855" s="3"/>
      <c r="C855" s="5"/>
      <c r="D855" s="5"/>
      <c r="E855" s="5"/>
      <c r="K855" s="8"/>
      <c r="O855" s="39"/>
      <c r="P855" s="33"/>
      <c r="S855" s="33"/>
      <c r="T855" s="33"/>
    </row>
    <row r="856" ht="15.75" customHeight="1">
      <c r="B856" s="3"/>
      <c r="C856" s="5"/>
      <c r="D856" s="5"/>
      <c r="E856" s="5"/>
      <c r="K856" s="8"/>
      <c r="O856" s="39"/>
      <c r="P856" s="33"/>
      <c r="S856" s="33"/>
      <c r="T856" s="33"/>
    </row>
    <row r="857" ht="15.75" customHeight="1">
      <c r="B857" s="3"/>
      <c r="C857" s="5"/>
      <c r="D857" s="5"/>
      <c r="E857" s="5"/>
      <c r="K857" s="8"/>
      <c r="O857" s="39"/>
      <c r="P857" s="33"/>
      <c r="S857" s="33"/>
      <c r="T857" s="33"/>
    </row>
    <row r="858" ht="15.75" customHeight="1">
      <c r="B858" s="3"/>
      <c r="C858" s="5"/>
      <c r="D858" s="5"/>
      <c r="E858" s="5"/>
      <c r="K858" s="8"/>
      <c r="O858" s="39"/>
      <c r="P858" s="33"/>
      <c r="S858" s="33"/>
      <c r="T858" s="33"/>
    </row>
    <row r="859" ht="15.75" customHeight="1">
      <c r="B859" s="3"/>
      <c r="C859" s="5"/>
      <c r="D859" s="5"/>
      <c r="E859" s="5"/>
      <c r="K859" s="8"/>
      <c r="O859" s="39"/>
      <c r="P859" s="33"/>
      <c r="S859" s="33"/>
      <c r="T859" s="33"/>
    </row>
    <row r="860" ht="15.75" customHeight="1">
      <c r="B860" s="3"/>
      <c r="C860" s="5"/>
      <c r="D860" s="5"/>
      <c r="E860" s="5"/>
      <c r="K860" s="8"/>
      <c r="O860" s="39"/>
      <c r="P860" s="33"/>
      <c r="S860" s="33"/>
      <c r="T860" s="33"/>
    </row>
    <row r="861" ht="15.75" customHeight="1">
      <c r="B861" s="3"/>
      <c r="C861" s="5"/>
      <c r="D861" s="5"/>
      <c r="E861" s="5"/>
      <c r="K861" s="8"/>
      <c r="O861" s="39"/>
      <c r="P861" s="33"/>
      <c r="S861" s="33"/>
      <c r="T861" s="33"/>
    </row>
    <row r="862" ht="15.75" customHeight="1">
      <c r="B862" s="3"/>
      <c r="C862" s="5"/>
      <c r="D862" s="5"/>
      <c r="E862" s="5"/>
      <c r="K862" s="8"/>
      <c r="O862" s="39"/>
      <c r="P862" s="33"/>
      <c r="S862" s="33"/>
      <c r="T862" s="33"/>
    </row>
    <row r="863" ht="15.75" customHeight="1">
      <c r="B863" s="3"/>
      <c r="C863" s="5"/>
      <c r="D863" s="5"/>
      <c r="E863" s="5"/>
      <c r="K863" s="8"/>
      <c r="O863" s="39"/>
      <c r="P863" s="33"/>
      <c r="S863" s="33"/>
      <c r="T863" s="33"/>
    </row>
    <row r="864" ht="15.75" customHeight="1">
      <c r="B864" s="3"/>
      <c r="C864" s="5"/>
      <c r="D864" s="5"/>
      <c r="E864" s="5"/>
      <c r="K864" s="8"/>
      <c r="O864" s="39"/>
      <c r="P864" s="33"/>
      <c r="S864" s="33"/>
      <c r="T864" s="33"/>
    </row>
    <row r="865" ht="15.75" customHeight="1">
      <c r="B865" s="3"/>
      <c r="C865" s="5"/>
      <c r="D865" s="5"/>
      <c r="E865" s="5"/>
      <c r="K865" s="8"/>
      <c r="O865" s="39"/>
      <c r="P865" s="33"/>
      <c r="S865" s="33"/>
      <c r="T865" s="33"/>
    </row>
    <row r="866" ht="15.75" customHeight="1">
      <c r="B866" s="3"/>
      <c r="C866" s="5"/>
      <c r="D866" s="5"/>
      <c r="E866" s="5"/>
      <c r="K866" s="8"/>
      <c r="O866" s="39"/>
      <c r="P866" s="33"/>
      <c r="S866" s="33"/>
      <c r="T866" s="33"/>
    </row>
    <row r="867" ht="15.75" customHeight="1">
      <c r="B867" s="3"/>
      <c r="C867" s="5"/>
      <c r="D867" s="5"/>
      <c r="E867" s="5"/>
      <c r="K867" s="8"/>
      <c r="O867" s="39"/>
      <c r="P867" s="33"/>
      <c r="S867" s="33"/>
      <c r="T867" s="33"/>
    </row>
    <row r="868" ht="15.75" customHeight="1">
      <c r="B868" s="3"/>
      <c r="C868" s="5"/>
      <c r="D868" s="5"/>
      <c r="E868" s="5"/>
      <c r="K868" s="8"/>
      <c r="O868" s="39"/>
      <c r="P868" s="33"/>
      <c r="S868" s="33"/>
      <c r="T868" s="33"/>
    </row>
    <row r="869" ht="15.75" customHeight="1">
      <c r="B869" s="3"/>
      <c r="C869" s="5"/>
      <c r="D869" s="5"/>
      <c r="E869" s="5"/>
      <c r="K869" s="8"/>
      <c r="O869" s="39"/>
      <c r="P869" s="33"/>
      <c r="S869" s="33"/>
      <c r="T869" s="33"/>
    </row>
    <row r="870" ht="15.75" customHeight="1">
      <c r="B870" s="3"/>
      <c r="C870" s="5"/>
      <c r="D870" s="5"/>
      <c r="E870" s="5"/>
      <c r="K870" s="8"/>
      <c r="O870" s="39"/>
      <c r="P870" s="33"/>
      <c r="S870" s="33"/>
      <c r="T870" s="33"/>
    </row>
    <row r="871" ht="15.75" customHeight="1">
      <c r="B871" s="3"/>
      <c r="C871" s="5"/>
      <c r="D871" s="5"/>
      <c r="E871" s="5"/>
      <c r="K871" s="8"/>
      <c r="O871" s="39"/>
      <c r="P871" s="33"/>
      <c r="S871" s="33"/>
      <c r="T871" s="33"/>
    </row>
    <row r="872" ht="15.75" customHeight="1">
      <c r="B872" s="3"/>
      <c r="C872" s="5"/>
      <c r="D872" s="5"/>
      <c r="E872" s="5"/>
      <c r="K872" s="8"/>
      <c r="O872" s="39"/>
      <c r="P872" s="33"/>
      <c r="S872" s="33"/>
      <c r="T872" s="33"/>
    </row>
    <row r="873" ht="15.75" customHeight="1">
      <c r="B873" s="3"/>
      <c r="C873" s="5"/>
      <c r="D873" s="5"/>
      <c r="E873" s="5"/>
      <c r="K873" s="8"/>
      <c r="O873" s="39"/>
      <c r="P873" s="33"/>
      <c r="S873" s="33"/>
      <c r="T873" s="33"/>
    </row>
    <row r="874" ht="15.75" customHeight="1">
      <c r="B874" s="3"/>
      <c r="C874" s="5"/>
      <c r="D874" s="5"/>
      <c r="E874" s="5"/>
      <c r="K874" s="8"/>
      <c r="O874" s="39"/>
      <c r="P874" s="33"/>
      <c r="S874" s="33"/>
      <c r="T874" s="33"/>
    </row>
    <row r="875" ht="15.75" customHeight="1">
      <c r="B875" s="3"/>
      <c r="C875" s="5"/>
      <c r="D875" s="5"/>
      <c r="E875" s="5"/>
      <c r="K875" s="8"/>
      <c r="O875" s="39"/>
      <c r="P875" s="33"/>
      <c r="S875" s="33"/>
      <c r="T875" s="33"/>
    </row>
    <row r="876" ht="15.75" customHeight="1">
      <c r="B876" s="3"/>
      <c r="C876" s="5"/>
      <c r="D876" s="5"/>
      <c r="E876" s="5"/>
      <c r="K876" s="8"/>
      <c r="O876" s="39"/>
      <c r="P876" s="33"/>
      <c r="S876" s="33"/>
      <c r="T876" s="33"/>
    </row>
    <row r="877" ht="15.75" customHeight="1">
      <c r="B877" s="3"/>
      <c r="C877" s="5"/>
      <c r="D877" s="5"/>
      <c r="E877" s="5"/>
      <c r="K877" s="8"/>
      <c r="O877" s="39"/>
      <c r="P877" s="33"/>
      <c r="S877" s="33"/>
      <c r="T877" s="33"/>
    </row>
    <row r="878" ht="15.75" customHeight="1">
      <c r="B878" s="3"/>
      <c r="C878" s="5"/>
      <c r="D878" s="5"/>
      <c r="E878" s="5"/>
      <c r="K878" s="8"/>
      <c r="O878" s="39"/>
      <c r="P878" s="33"/>
      <c r="S878" s="33"/>
      <c r="T878" s="33"/>
    </row>
    <row r="879" ht="15.75" customHeight="1">
      <c r="B879" s="3"/>
      <c r="C879" s="5"/>
      <c r="D879" s="5"/>
      <c r="E879" s="5"/>
      <c r="K879" s="8"/>
      <c r="O879" s="39"/>
      <c r="P879" s="33"/>
      <c r="S879" s="33"/>
      <c r="T879" s="33"/>
    </row>
    <row r="880" ht="15.75" customHeight="1">
      <c r="B880" s="3"/>
      <c r="C880" s="5"/>
      <c r="D880" s="5"/>
      <c r="E880" s="5"/>
      <c r="K880" s="8"/>
      <c r="O880" s="39"/>
      <c r="P880" s="33"/>
      <c r="S880" s="33"/>
      <c r="T880" s="33"/>
    </row>
    <row r="881" ht="15.75" customHeight="1">
      <c r="B881" s="3"/>
      <c r="C881" s="5"/>
      <c r="D881" s="5"/>
      <c r="E881" s="5"/>
      <c r="K881" s="8"/>
      <c r="O881" s="39"/>
      <c r="P881" s="33"/>
      <c r="S881" s="33"/>
      <c r="T881" s="33"/>
    </row>
    <row r="882" ht="15.75" customHeight="1">
      <c r="B882" s="3"/>
      <c r="C882" s="5"/>
      <c r="D882" s="5"/>
      <c r="E882" s="5"/>
      <c r="K882" s="8"/>
      <c r="O882" s="39"/>
      <c r="P882" s="33"/>
      <c r="S882" s="33"/>
      <c r="T882" s="33"/>
    </row>
    <row r="883" ht="15.75" customHeight="1">
      <c r="B883" s="3"/>
      <c r="C883" s="5"/>
      <c r="D883" s="5"/>
      <c r="E883" s="5"/>
      <c r="K883" s="8"/>
      <c r="O883" s="39"/>
      <c r="P883" s="33"/>
      <c r="S883" s="33"/>
      <c r="T883" s="33"/>
    </row>
    <row r="884" ht="15.75" customHeight="1">
      <c r="B884" s="3"/>
      <c r="C884" s="5"/>
      <c r="D884" s="5"/>
      <c r="E884" s="5"/>
      <c r="K884" s="8"/>
      <c r="O884" s="39"/>
      <c r="P884" s="33"/>
      <c r="S884" s="33"/>
      <c r="T884" s="33"/>
    </row>
    <row r="885" ht="15.75" customHeight="1">
      <c r="B885" s="3"/>
      <c r="C885" s="5"/>
      <c r="D885" s="5"/>
      <c r="E885" s="5"/>
      <c r="K885" s="8"/>
      <c r="O885" s="39"/>
      <c r="P885" s="33"/>
      <c r="S885" s="33"/>
      <c r="T885" s="33"/>
    </row>
    <row r="886" ht="15.75" customHeight="1">
      <c r="B886" s="3"/>
      <c r="C886" s="5"/>
      <c r="D886" s="5"/>
      <c r="E886" s="5"/>
      <c r="K886" s="8"/>
      <c r="O886" s="39"/>
      <c r="P886" s="33"/>
      <c r="S886" s="33"/>
      <c r="T886" s="33"/>
    </row>
    <row r="887" ht="15.75" customHeight="1">
      <c r="B887" s="3"/>
      <c r="C887" s="5"/>
      <c r="D887" s="5"/>
      <c r="E887" s="5"/>
      <c r="K887" s="8"/>
      <c r="O887" s="39"/>
      <c r="P887" s="33"/>
      <c r="S887" s="33"/>
      <c r="T887" s="33"/>
    </row>
    <row r="888" ht="15.75" customHeight="1">
      <c r="B888" s="3"/>
      <c r="C888" s="5"/>
      <c r="D888" s="5"/>
      <c r="E888" s="5"/>
      <c r="K888" s="8"/>
      <c r="O888" s="39"/>
      <c r="P888" s="33"/>
      <c r="S888" s="33"/>
      <c r="T888" s="33"/>
    </row>
    <row r="889" ht="15.75" customHeight="1">
      <c r="B889" s="3"/>
      <c r="C889" s="5"/>
      <c r="D889" s="5"/>
      <c r="E889" s="5"/>
      <c r="K889" s="8"/>
      <c r="O889" s="39"/>
      <c r="P889" s="33"/>
      <c r="S889" s="33"/>
      <c r="T889" s="33"/>
    </row>
    <row r="890" ht="15.75" customHeight="1">
      <c r="B890" s="3"/>
      <c r="C890" s="5"/>
      <c r="D890" s="5"/>
      <c r="E890" s="5"/>
      <c r="K890" s="8"/>
      <c r="O890" s="39"/>
      <c r="P890" s="33"/>
      <c r="S890" s="33"/>
      <c r="T890" s="33"/>
    </row>
    <row r="891" ht="15.75" customHeight="1">
      <c r="B891" s="3"/>
      <c r="C891" s="5"/>
      <c r="D891" s="5"/>
      <c r="E891" s="5"/>
      <c r="K891" s="8"/>
      <c r="O891" s="39"/>
      <c r="P891" s="33"/>
      <c r="S891" s="33"/>
      <c r="T891" s="33"/>
    </row>
    <row r="892" ht="15.75" customHeight="1">
      <c r="B892" s="3"/>
      <c r="C892" s="5"/>
      <c r="D892" s="5"/>
      <c r="E892" s="5"/>
      <c r="K892" s="8"/>
      <c r="O892" s="39"/>
      <c r="P892" s="33"/>
      <c r="S892" s="33"/>
      <c r="T892" s="33"/>
    </row>
    <row r="893" ht="15.75" customHeight="1">
      <c r="B893" s="3"/>
      <c r="C893" s="5"/>
      <c r="D893" s="5"/>
      <c r="E893" s="5"/>
      <c r="K893" s="8"/>
      <c r="O893" s="39"/>
      <c r="P893" s="33"/>
      <c r="S893" s="33"/>
      <c r="T893" s="33"/>
    </row>
    <row r="894" ht="15.75" customHeight="1">
      <c r="B894" s="3"/>
      <c r="C894" s="5"/>
      <c r="D894" s="5"/>
      <c r="E894" s="5"/>
      <c r="K894" s="8"/>
      <c r="O894" s="39"/>
      <c r="P894" s="33"/>
      <c r="S894" s="33"/>
      <c r="T894" s="33"/>
    </row>
    <row r="895" ht="15.75" customHeight="1">
      <c r="B895" s="3"/>
      <c r="C895" s="5"/>
      <c r="D895" s="5"/>
      <c r="E895" s="5"/>
      <c r="K895" s="8"/>
      <c r="O895" s="39"/>
      <c r="P895" s="33"/>
      <c r="S895" s="33"/>
      <c r="T895" s="33"/>
    </row>
    <row r="896" ht="15.75" customHeight="1">
      <c r="B896" s="3"/>
      <c r="C896" s="5"/>
      <c r="D896" s="5"/>
      <c r="E896" s="5"/>
      <c r="K896" s="8"/>
      <c r="O896" s="39"/>
      <c r="P896" s="33"/>
      <c r="S896" s="33"/>
      <c r="T896" s="33"/>
    </row>
    <row r="897" ht="15.75" customHeight="1">
      <c r="B897" s="3"/>
      <c r="C897" s="5"/>
      <c r="D897" s="5"/>
      <c r="E897" s="5"/>
      <c r="K897" s="8"/>
      <c r="O897" s="39"/>
      <c r="P897" s="33"/>
      <c r="S897" s="33"/>
      <c r="T897" s="33"/>
    </row>
    <row r="898" ht="15.75" customHeight="1">
      <c r="B898" s="3"/>
      <c r="C898" s="5"/>
      <c r="D898" s="5"/>
      <c r="E898" s="5"/>
      <c r="K898" s="8"/>
      <c r="O898" s="39"/>
      <c r="P898" s="33"/>
      <c r="S898" s="33"/>
      <c r="T898" s="33"/>
    </row>
    <row r="899" ht="15.75" customHeight="1">
      <c r="B899" s="3"/>
      <c r="C899" s="5"/>
      <c r="D899" s="5"/>
      <c r="E899" s="5"/>
      <c r="K899" s="8"/>
      <c r="O899" s="39"/>
      <c r="P899" s="33"/>
      <c r="S899" s="33"/>
      <c r="T899" s="33"/>
    </row>
    <row r="900" ht="15.75" customHeight="1">
      <c r="B900" s="3"/>
      <c r="C900" s="5"/>
      <c r="D900" s="5"/>
      <c r="E900" s="5"/>
      <c r="K900" s="8"/>
      <c r="O900" s="39"/>
      <c r="P900" s="33"/>
      <c r="S900" s="33"/>
      <c r="T900" s="33"/>
    </row>
    <row r="901" ht="15.75" customHeight="1">
      <c r="B901" s="3"/>
      <c r="C901" s="5"/>
      <c r="D901" s="5"/>
      <c r="E901" s="5"/>
      <c r="K901" s="8"/>
      <c r="O901" s="39"/>
      <c r="P901" s="33"/>
      <c r="S901" s="33"/>
      <c r="T901" s="33"/>
    </row>
    <row r="902" ht="15.75" customHeight="1">
      <c r="B902" s="3"/>
      <c r="C902" s="5"/>
      <c r="D902" s="5"/>
      <c r="E902" s="5"/>
      <c r="K902" s="8"/>
      <c r="O902" s="39"/>
      <c r="P902" s="33"/>
      <c r="S902" s="33"/>
      <c r="T902" s="33"/>
    </row>
    <row r="903" ht="15.75" customHeight="1">
      <c r="B903" s="3"/>
      <c r="C903" s="5"/>
      <c r="D903" s="5"/>
      <c r="E903" s="5"/>
      <c r="K903" s="8"/>
      <c r="O903" s="39"/>
      <c r="P903" s="33"/>
      <c r="S903" s="33"/>
      <c r="T903" s="33"/>
    </row>
    <row r="904" ht="15.75" customHeight="1">
      <c r="B904" s="3"/>
      <c r="C904" s="5"/>
      <c r="D904" s="5"/>
      <c r="E904" s="5"/>
      <c r="K904" s="8"/>
      <c r="O904" s="39"/>
      <c r="P904" s="33"/>
      <c r="S904" s="33"/>
      <c r="T904" s="33"/>
    </row>
    <row r="905" ht="15.75" customHeight="1">
      <c r="B905" s="3"/>
      <c r="C905" s="5"/>
      <c r="D905" s="5"/>
      <c r="E905" s="5"/>
      <c r="K905" s="8"/>
      <c r="O905" s="39"/>
      <c r="P905" s="33"/>
      <c r="S905" s="33"/>
      <c r="T905" s="33"/>
    </row>
    <row r="906" ht="15.75" customHeight="1">
      <c r="B906" s="3"/>
      <c r="C906" s="5"/>
      <c r="D906" s="5"/>
      <c r="E906" s="5"/>
      <c r="K906" s="8"/>
      <c r="O906" s="39"/>
      <c r="P906" s="33"/>
      <c r="S906" s="33"/>
      <c r="T906" s="33"/>
    </row>
    <row r="907" ht="15.75" customHeight="1">
      <c r="B907" s="3"/>
      <c r="C907" s="5"/>
      <c r="D907" s="5"/>
      <c r="E907" s="5"/>
      <c r="K907" s="8"/>
      <c r="O907" s="39"/>
      <c r="P907" s="33"/>
      <c r="S907" s="33"/>
      <c r="T907" s="33"/>
    </row>
    <row r="908" ht="15.75" customHeight="1">
      <c r="B908" s="3"/>
      <c r="C908" s="5"/>
      <c r="D908" s="5"/>
      <c r="E908" s="5"/>
      <c r="K908" s="8"/>
      <c r="O908" s="39"/>
      <c r="P908" s="33"/>
      <c r="S908" s="33"/>
      <c r="T908" s="33"/>
    </row>
    <row r="909" ht="15.75" customHeight="1">
      <c r="B909" s="3"/>
      <c r="C909" s="5"/>
      <c r="D909" s="5"/>
      <c r="E909" s="5"/>
      <c r="K909" s="8"/>
      <c r="O909" s="39"/>
      <c r="P909" s="33"/>
      <c r="S909" s="33"/>
      <c r="T909" s="33"/>
    </row>
    <row r="910" ht="15.75" customHeight="1">
      <c r="B910" s="3"/>
      <c r="C910" s="5"/>
      <c r="D910" s="5"/>
      <c r="E910" s="5"/>
      <c r="K910" s="8"/>
      <c r="O910" s="39"/>
      <c r="P910" s="33"/>
      <c r="S910" s="33"/>
      <c r="T910" s="33"/>
    </row>
    <row r="911" ht="15.75" customHeight="1">
      <c r="B911" s="3"/>
      <c r="C911" s="5"/>
      <c r="D911" s="5"/>
      <c r="E911" s="5"/>
      <c r="K911" s="8"/>
      <c r="O911" s="39"/>
      <c r="P911" s="33"/>
      <c r="S911" s="33"/>
      <c r="T911" s="33"/>
    </row>
    <row r="912" ht="15.75" customHeight="1">
      <c r="B912" s="3"/>
      <c r="C912" s="5"/>
      <c r="D912" s="5"/>
      <c r="E912" s="5"/>
      <c r="K912" s="8"/>
      <c r="O912" s="39"/>
      <c r="P912" s="33"/>
      <c r="S912" s="33"/>
      <c r="T912" s="33"/>
    </row>
    <row r="913" ht="15.75" customHeight="1">
      <c r="B913" s="3"/>
      <c r="C913" s="5"/>
      <c r="D913" s="5"/>
      <c r="E913" s="5"/>
      <c r="K913" s="8"/>
      <c r="O913" s="39"/>
      <c r="P913" s="33"/>
      <c r="S913" s="33"/>
      <c r="T913" s="33"/>
    </row>
    <row r="914" ht="15.75" customHeight="1">
      <c r="B914" s="3"/>
      <c r="C914" s="5"/>
      <c r="D914" s="5"/>
      <c r="E914" s="5"/>
      <c r="K914" s="8"/>
      <c r="O914" s="39"/>
      <c r="P914" s="33"/>
      <c r="S914" s="33"/>
      <c r="T914" s="33"/>
    </row>
    <row r="915" ht="15.75" customHeight="1">
      <c r="B915" s="3"/>
      <c r="C915" s="5"/>
      <c r="D915" s="5"/>
      <c r="E915" s="5"/>
      <c r="K915" s="8"/>
      <c r="O915" s="39"/>
      <c r="P915" s="33"/>
      <c r="S915" s="33"/>
      <c r="T915" s="33"/>
    </row>
    <row r="916" ht="15.75" customHeight="1">
      <c r="B916" s="3"/>
      <c r="C916" s="5"/>
      <c r="D916" s="5"/>
      <c r="E916" s="5"/>
      <c r="K916" s="8"/>
      <c r="O916" s="39"/>
      <c r="P916" s="33"/>
      <c r="S916" s="33"/>
      <c r="T916" s="33"/>
    </row>
    <row r="917" ht="15.75" customHeight="1">
      <c r="B917" s="3"/>
      <c r="C917" s="5"/>
      <c r="D917" s="5"/>
      <c r="E917" s="5"/>
      <c r="K917" s="8"/>
      <c r="O917" s="39"/>
      <c r="P917" s="33"/>
      <c r="S917" s="33"/>
      <c r="T917" s="33"/>
    </row>
    <row r="918" ht="15.75" customHeight="1">
      <c r="B918" s="3"/>
      <c r="C918" s="5"/>
      <c r="D918" s="5"/>
      <c r="E918" s="5"/>
      <c r="K918" s="8"/>
      <c r="O918" s="39"/>
      <c r="P918" s="33"/>
      <c r="S918" s="33"/>
      <c r="T918" s="33"/>
    </row>
    <row r="919" ht="15.75" customHeight="1">
      <c r="B919" s="3"/>
      <c r="C919" s="5"/>
      <c r="D919" s="5"/>
      <c r="E919" s="5"/>
      <c r="K919" s="8"/>
      <c r="O919" s="39"/>
      <c r="P919" s="33"/>
      <c r="S919" s="33"/>
      <c r="T919" s="33"/>
    </row>
    <row r="920" ht="15.75" customHeight="1">
      <c r="B920" s="3"/>
      <c r="C920" s="5"/>
      <c r="D920" s="5"/>
      <c r="E920" s="5"/>
      <c r="K920" s="8"/>
      <c r="O920" s="39"/>
      <c r="P920" s="33"/>
      <c r="S920" s="33"/>
      <c r="T920" s="33"/>
    </row>
    <row r="921" ht="15.75" customHeight="1">
      <c r="B921" s="3"/>
      <c r="C921" s="5"/>
      <c r="D921" s="5"/>
      <c r="E921" s="5"/>
      <c r="K921" s="8"/>
      <c r="O921" s="39"/>
      <c r="P921" s="33"/>
      <c r="S921" s="33"/>
      <c r="T921" s="33"/>
    </row>
    <row r="922" ht="15.75" customHeight="1">
      <c r="B922" s="3"/>
      <c r="C922" s="5"/>
      <c r="D922" s="5"/>
      <c r="E922" s="5"/>
      <c r="K922" s="8"/>
      <c r="O922" s="39"/>
      <c r="P922" s="33"/>
      <c r="S922" s="33"/>
      <c r="T922" s="33"/>
    </row>
    <row r="923" ht="15.75" customHeight="1">
      <c r="B923" s="3"/>
      <c r="C923" s="5"/>
      <c r="D923" s="5"/>
      <c r="E923" s="5"/>
      <c r="K923" s="8"/>
      <c r="O923" s="39"/>
      <c r="P923" s="33"/>
      <c r="S923" s="33"/>
      <c r="T923" s="33"/>
    </row>
    <row r="924" ht="15.75" customHeight="1">
      <c r="B924" s="3"/>
      <c r="C924" s="5"/>
      <c r="D924" s="5"/>
      <c r="E924" s="5"/>
      <c r="K924" s="8"/>
      <c r="O924" s="39"/>
      <c r="P924" s="33"/>
      <c r="S924" s="33"/>
      <c r="T924" s="33"/>
    </row>
    <row r="925" ht="15.75" customHeight="1">
      <c r="B925" s="3"/>
      <c r="C925" s="5"/>
      <c r="D925" s="5"/>
      <c r="E925" s="5"/>
      <c r="K925" s="8"/>
      <c r="O925" s="39"/>
      <c r="P925" s="33"/>
      <c r="S925" s="33"/>
      <c r="T925" s="33"/>
    </row>
    <row r="926" ht="15.75" customHeight="1">
      <c r="B926" s="3"/>
      <c r="C926" s="5"/>
      <c r="D926" s="5"/>
      <c r="E926" s="5"/>
      <c r="K926" s="8"/>
      <c r="O926" s="39"/>
      <c r="P926" s="33"/>
      <c r="S926" s="33"/>
      <c r="T926" s="33"/>
    </row>
    <row r="927" ht="15.75" customHeight="1">
      <c r="B927" s="3"/>
      <c r="C927" s="5"/>
      <c r="D927" s="5"/>
      <c r="E927" s="5"/>
      <c r="K927" s="8"/>
      <c r="O927" s="39"/>
      <c r="P927" s="33"/>
      <c r="S927" s="33"/>
      <c r="T927" s="33"/>
    </row>
    <row r="928" ht="15.75" customHeight="1">
      <c r="B928" s="3"/>
      <c r="C928" s="5"/>
      <c r="D928" s="5"/>
      <c r="E928" s="5"/>
      <c r="K928" s="8"/>
      <c r="O928" s="39"/>
      <c r="P928" s="33"/>
      <c r="S928" s="33"/>
      <c r="T928" s="33"/>
    </row>
    <row r="929" ht="15.75" customHeight="1">
      <c r="B929" s="3"/>
      <c r="C929" s="5"/>
      <c r="D929" s="5"/>
      <c r="E929" s="5"/>
      <c r="K929" s="8"/>
      <c r="O929" s="39"/>
      <c r="P929" s="33"/>
      <c r="S929" s="33"/>
      <c r="T929" s="33"/>
    </row>
    <row r="930" ht="15.75" customHeight="1">
      <c r="B930" s="3"/>
      <c r="C930" s="5"/>
      <c r="D930" s="5"/>
      <c r="E930" s="5"/>
      <c r="K930" s="8"/>
      <c r="O930" s="39"/>
      <c r="P930" s="33"/>
      <c r="S930" s="33"/>
      <c r="T930" s="33"/>
    </row>
    <row r="931" ht="15.75" customHeight="1">
      <c r="B931" s="3"/>
      <c r="C931" s="5"/>
      <c r="D931" s="5"/>
      <c r="E931" s="5"/>
      <c r="K931" s="8"/>
      <c r="O931" s="39"/>
      <c r="P931" s="33"/>
      <c r="S931" s="33"/>
      <c r="T931" s="33"/>
    </row>
    <row r="932" ht="15.75" customHeight="1">
      <c r="B932" s="3"/>
      <c r="C932" s="5"/>
      <c r="D932" s="5"/>
      <c r="E932" s="5"/>
      <c r="K932" s="8"/>
      <c r="O932" s="39"/>
      <c r="P932" s="33"/>
      <c r="S932" s="33"/>
      <c r="T932" s="33"/>
    </row>
    <row r="933" ht="15.75" customHeight="1">
      <c r="B933" s="3"/>
      <c r="C933" s="5"/>
      <c r="D933" s="5"/>
      <c r="E933" s="5"/>
      <c r="K933" s="8"/>
      <c r="O933" s="39"/>
      <c r="P933" s="33"/>
      <c r="S933" s="33"/>
      <c r="T933" s="33"/>
    </row>
    <row r="934" ht="15.75" customHeight="1">
      <c r="B934" s="3"/>
      <c r="C934" s="5"/>
      <c r="D934" s="5"/>
      <c r="E934" s="5"/>
      <c r="K934" s="8"/>
      <c r="O934" s="39"/>
      <c r="P934" s="33"/>
      <c r="S934" s="33"/>
      <c r="T934" s="33"/>
    </row>
    <row r="935" ht="15.75" customHeight="1">
      <c r="B935" s="3"/>
      <c r="C935" s="5"/>
      <c r="D935" s="5"/>
      <c r="E935" s="5"/>
      <c r="K935" s="8"/>
      <c r="O935" s="39"/>
      <c r="P935" s="33"/>
      <c r="S935" s="33"/>
      <c r="T935" s="33"/>
    </row>
    <row r="936" ht="15.75" customHeight="1">
      <c r="B936" s="3"/>
      <c r="C936" s="5"/>
      <c r="D936" s="5"/>
      <c r="E936" s="5"/>
      <c r="K936" s="8"/>
      <c r="O936" s="39"/>
      <c r="P936" s="33"/>
      <c r="S936" s="33"/>
      <c r="T936" s="33"/>
    </row>
    <row r="937" ht="15.75" customHeight="1">
      <c r="B937" s="3"/>
      <c r="C937" s="5"/>
      <c r="D937" s="5"/>
      <c r="E937" s="5"/>
      <c r="K937" s="8"/>
      <c r="O937" s="39"/>
      <c r="P937" s="33"/>
      <c r="S937" s="33"/>
      <c r="T937" s="33"/>
    </row>
    <row r="938" ht="15.75" customHeight="1">
      <c r="B938" s="3"/>
      <c r="C938" s="5"/>
      <c r="D938" s="5"/>
      <c r="E938" s="5"/>
      <c r="K938" s="8"/>
      <c r="O938" s="39"/>
      <c r="P938" s="33"/>
      <c r="S938" s="33"/>
      <c r="T938" s="33"/>
    </row>
    <row r="939" ht="15.75" customHeight="1">
      <c r="B939" s="3"/>
      <c r="C939" s="5"/>
      <c r="D939" s="5"/>
      <c r="E939" s="5"/>
      <c r="K939" s="8"/>
      <c r="O939" s="39"/>
      <c r="P939" s="33"/>
      <c r="S939" s="33"/>
      <c r="T939" s="33"/>
    </row>
    <row r="940" ht="15.75" customHeight="1">
      <c r="B940" s="3"/>
      <c r="C940" s="5"/>
      <c r="D940" s="5"/>
      <c r="E940" s="5"/>
      <c r="K940" s="8"/>
      <c r="O940" s="39"/>
      <c r="P940" s="33"/>
      <c r="S940" s="33"/>
      <c r="T940" s="33"/>
    </row>
    <row r="941" ht="15.75" customHeight="1">
      <c r="B941" s="3"/>
      <c r="C941" s="5"/>
      <c r="D941" s="5"/>
      <c r="E941" s="5"/>
      <c r="K941" s="8"/>
      <c r="O941" s="39"/>
      <c r="P941" s="33"/>
      <c r="S941" s="33"/>
      <c r="T941" s="33"/>
    </row>
    <row r="942" ht="15.75" customHeight="1">
      <c r="B942" s="3"/>
      <c r="C942" s="5"/>
      <c r="D942" s="5"/>
      <c r="E942" s="5"/>
      <c r="K942" s="8"/>
      <c r="O942" s="39"/>
      <c r="P942" s="33"/>
      <c r="S942" s="33"/>
      <c r="T942" s="33"/>
    </row>
    <row r="943" ht="15.75" customHeight="1">
      <c r="B943" s="3"/>
      <c r="C943" s="5"/>
      <c r="D943" s="5"/>
      <c r="E943" s="5"/>
      <c r="K943" s="8"/>
      <c r="O943" s="39"/>
      <c r="P943" s="33"/>
      <c r="S943" s="33"/>
      <c r="T943" s="33"/>
    </row>
    <row r="944" ht="15.75" customHeight="1">
      <c r="B944" s="3"/>
      <c r="C944" s="5"/>
      <c r="D944" s="5"/>
      <c r="E944" s="5"/>
      <c r="K944" s="8"/>
      <c r="O944" s="39"/>
      <c r="P944" s="33"/>
      <c r="S944" s="33"/>
      <c r="T944" s="33"/>
    </row>
    <row r="945" ht="15.75" customHeight="1">
      <c r="B945" s="3"/>
      <c r="C945" s="5"/>
      <c r="D945" s="5"/>
      <c r="E945" s="5"/>
      <c r="K945" s="8"/>
      <c r="O945" s="39"/>
      <c r="P945" s="33"/>
      <c r="S945" s="33"/>
      <c r="T945" s="33"/>
    </row>
    <row r="946" ht="15.75" customHeight="1">
      <c r="B946" s="3"/>
      <c r="C946" s="5"/>
      <c r="D946" s="5"/>
      <c r="E946" s="5"/>
      <c r="K946" s="8"/>
      <c r="O946" s="39"/>
      <c r="P946" s="33"/>
      <c r="S946" s="33"/>
      <c r="T946" s="33"/>
    </row>
    <row r="947" ht="15.75" customHeight="1">
      <c r="B947" s="3"/>
      <c r="C947" s="5"/>
      <c r="D947" s="5"/>
      <c r="E947" s="5"/>
      <c r="K947" s="8"/>
      <c r="O947" s="39"/>
      <c r="P947" s="33"/>
      <c r="S947" s="33"/>
      <c r="T947" s="33"/>
    </row>
    <row r="948" ht="15.75" customHeight="1">
      <c r="B948" s="3"/>
      <c r="C948" s="5"/>
      <c r="D948" s="5"/>
      <c r="E948" s="5"/>
      <c r="K948" s="8"/>
      <c r="O948" s="39"/>
      <c r="P948" s="33"/>
      <c r="S948" s="33"/>
      <c r="T948" s="33"/>
    </row>
    <row r="949" ht="15.75" customHeight="1">
      <c r="B949" s="3"/>
      <c r="C949" s="5"/>
      <c r="D949" s="5"/>
      <c r="E949" s="5"/>
      <c r="K949" s="8"/>
      <c r="O949" s="39"/>
      <c r="P949" s="33"/>
      <c r="S949" s="33"/>
      <c r="T949" s="33"/>
    </row>
    <row r="950" ht="15.75" customHeight="1">
      <c r="B950" s="3"/>
      <c r="C950" s="5"/>
      <c r="D950" s="5"/>
      <c r="E950" s="5"/>
      <c r="K950" s="8"/>
      <c r="O950" s="39"/>
      <c r="P950" s="33"/>
      <c r="S950" s="33"/>
      <c r="T950" s="33"/>
    </row>
    <row r="951" ht="15.75" customHeight="1">
      <c r="B951" s="3"/>
      <c r="C951" s="5"/>
      <c r="D951" s="5"/>
      <c r="E951" s="5"/>
      <c r="K951" s="8"/>
      <c r="O951" s="39"/>
      <c r="P951" s="33"/>
      <c r="S951" s="33"/>
      <c r="T951" s="33"/>
    </row>
    <row r="952" ht="15.75" customHeight="1">
      <c r="B952" s="3"/>
      <c r="C952" s="5"/>
      <c r="D952" s="5"/>
      <c r="E952" s="5"/>
      <c r="K952" s="8"/>
      <c r="O952" s="39"/>
      <c r="P952" s="33"/>
      <c r="S952" s="33"/>
      <c r="T952" s="33"/>
    </row>
    <row r="953" ht="15.75" customHeight="1">
      <c r="B953" s="3"/>
      <c r="C953" s="5"/>
      <c r="D953" s="5"/>
      <c r="E953" s="5"/>
      <c r="K953" s="8"/>
      <c r="O953" s="39"/>
      <c r="P953" s="33"/>
      <c r="S953" s="33"/>
      <c r="T953" s="33"/>
    </row>
    <row r="954" ht="15.75" customHeight="1">
      <c r="B954" s="3"/>
      <c r="C954" s="5"/>
      <c r="D954" s="5"/>
      <c r="E954" s="5"/>
      <c r="K954" s="8"/>
      <c r="O954" s="39"/>
      <c r="P954" s="33"/>
      <c r="S954" s="33"/>
      <c r="T954" s="33"/>
    </row>
    <row r="955" ht="15.75" customHeight="1">
      <c r="B955" s="3"/>
      <c r="C955" s="5"/>
      <c r="D955" s="5"/>
      <c r="E955" s="5"/>
      <c r="K955" s="8"/>
      <c r="O955" s="39"/>
      <c r="P955" s="33"/>
      <c r="S955" s="33"/>
      <c r="T955" s="33"/>
    </row>
    <row r="956" ht="15.75" customHeight="1">
      <c r="B956" s="3"/>
      <c r="C956" s="5"/>
      <c r="D956" s="5"/>
      <c r="E956" s="5"/>
      <c r="K956" s="8"/>
      <c r="O956" s="39"/>
      <c r="P956" s="33"/>
      <c r="S956" s="33"/>
      <c r="T956" s="33"/>
    </row>
    <row r="957" ht="15.75" customHeight="1">
      <c r="B957" s="3"/>
      <c r="C957" s="5"/>
      <c r="D957" s="5"/>
      <c r="E957" s="5"/>
      <c r="K957" s="8"/>
      <c r="O957" s="39"/>
      <c r="P957" s="33"/>
      <c r="S957" s="33"/>
      <c r="T957" s="33"/>
    </row>
    <row r="958" ht="15.75" customHeight="1">
      <c r="B958" s="3"/>
      <c r="C958" s="5"/>
      <c r="D958" s="5"/>
      <c r="E958" s="5"/>
      <c r="K958" s="8"/>
      <c r="O958" s="39"/>
      <c r="P958" s="33"/>
      <c r="S958" s="33"/>
      <c r="T958" s="33"/>
    </row>
    <row r="959" ht="15.75" customHeight="1">
      <c r="B959" s="3"/>
      <c r="C959" s="5"/>
      <c r="D959" s="5"/>
      <c r="E959" s="5"/>
      <c r="K959" s="8"/>
      <c r="O959" s="39"/>
      <c r="P959" s="33"/>
      <c r="S959" s="33"/>
      <c r="T959" s="33"/>
    </row>
    <row r="960" ht="15.75" customHeight="1">
      <c r="B960" s="3"/>
      <c r="C960" s="5"/>
      <c r="D960" s="5"/>
      <c r="E960" s="5"/>
      <c r="K960" s="8"/>
      <c r="O960" s="39"/>
      <c r="P960" s="33"/>
      <c r="S960" s="33"/>
      <c r="T960" s="33"/>
    </row>
    <row r="961" ht="15.75" customHeight="1">
      <c r="B961" s="3"/>
      <c r="C961" s="5"/>
      <c r="D961" s="5"/>
      <c r="E961" s="5"/>
      <c r="K961" s="8"/>
      <c r="O961" s="39"/>
      <c r="P961" s="33"/>
      <c r="S961" s="33"/>
      <c r="T961" s="33"/>
    </row>
    <row r="962" ht="15.75" customHeight="1">
      <c r="B962" s="3"/>
      <c r="C962" s="5"/>
      <c r="D962" s="5"/>
      <c r="E962" s="5"/>
      <c r="K962" s="8"/>
      <c r="O962" s="39"/>
      <c r="P962" s="33"/>
      <c r="S962" s="33"/>
      <c r="T962" s="33"/>
    </row>
    <row r="963" ht="15.75" customHeight="1">
      <c r="B963" s="3"/>
      <c r="C963" s="5"/>
      <c r="D963" s="5"/>
      <c r="E963" s="5"/>
      <c r="K963" s="8"/>
      <c r="O963" s="39"/>
      <c r="P963" s="33"/>
      <c r="S963" s="33"/>
      <c r="T963" s="33"/>
    </row>
    <row r="964" ht="15.75" customHeight="1">
      <c r="B964" s="3"/>
      <c r="C964" s="5"/>
      <c r="D964" s="5"/>
      <c r="E964" s="5"/>
      <c r="K964" s="8"/>
      <c r="O964" s="39"/>
      <c r="P964" s="33"/>
      <c r="S964" s="33"/>
      <c r="T964" s="33"/>
    </row>
    <row r="965" ht="15.75" customHeight="1">
      <c r="B965" s="3"/>
      <c r="C965" s="5"/>
      <c r="D965" s="5"/>
      <c r="E965" s="5"/>
      <c r="K965" s="8"/>
      <c r="O965" s="39"/>
      <c r="P965" s="33"/>
      <c r="S965" s="33"/>
      <c r="T965" s="33"/>
    </row>
    <row r="966" ht="15.75" customHeight="1">
      <c r="B966" s="3"/>
      <c r="C966" s="5"/>
      <c r="D966" s="5"/>
      <c r="E966" s="5"/>
      <c r="K966" s="8"/>
      <c r="O966" s="39"/>
      <c r="P966" s="33"/>
      <c r="S966" s="33"/>
      <c r="T966" s="33"/>
    </row>
    <row r="967" ht="15.75" customHeight="1">
      <c r="B967" s="3"/>
      <c r="C967" s="5"/>
      <c r="D967" s="5"/>
      <c r="E967" s="5"/>
      <c r="K967" s="8"/>
      <c r="O967" s="39"/>
      <c r="P967" s="33"/>
      <c r="S967" s="33"/>
      <c r="T967" s="33"/>
    </row>
    <row r="968" ht="15.75" customHeight="1">
      <c r="B968" s="3"/>
      <c r="C968" s="5"/>
      <c r="D968" s="5"/>
      <c r="E968" s="5"/>
      <c r="K968" s="8"/>
      <c r="O968" s="39"/>
      <c r="P968" s="33"/>
      <c r="S968" s="33"/>
      <c r="T968" s="33"/>
    </row>
    <row r="969" ht="15.75" customHeight="1">
      <c r="B969" s="3"/>
      <c r="C969" s="5"/>
      <c r="D969" s="5"/>
      <c r="E969" s="5"/>
      <c r="K969" s="8"/>
      <c r="O969" s="39"/>
      <c r="P969" s="33"/>
      <c r="S969" s="33"/>
      <c r="T969" s="33"/>
    </row>
    <row r="970" ht="15.75" customHeight="1">
      <c r="B970" s="3"/>
      <c r="C970" s="5"/>
      <c r="D970" s="5"/>
      <c r="E970" s="5"/>
      <c r="K970" s="8"/>
      <c r="O970" s="39"/>
      <c r="P970" s="33"/>
      <c r="S970" s="33"/>
      <c r="T970" s="33"/>
    </row>
    <row r="971" ht="15.75" customHeight="1">
      <c r="B971" s="3"/>
      <c r="C971" s="5"/>
      <c r="D971" s="5"/>
      <c r="E971" s="5"/>
      <c r="K971" s="8"/>
      <c r="O971" s="39"/>
      <c r="P971" s="33"/>
      <c r="S971" s="33"/>
      <c r="T971" s="33"/>
    </row>
    <row r="972" ht="15.75" customHeight="1">
      <c r="B972" s="3"/>
      <c r="C972" s="5"/>
      <c r="D972" s="5"/>
      <c r="E972" s="5"/>
      <c r="K972" s="8"/>
      <c r="O972" s="39"/>
      <c r="P972" s="33"/>
      <c r="S972" s="33"/>
      <c r="T972" s="33"/>
    </row>
    <row r="973" ht="15.75" customHeight="1">
      <c r="B973" s="3"/>
      <c r="C973" s="5"/>
      <c r="D973" s="5"/>
      <c r="E973" s="5"/>
      <c r="K973" s="8"/>
      <c r="O973" s="39"/>
      <c r="P973" s="33"/>
      <c r="S973" s="33"/>
      <c r="T973" s="33"/>
    </row>
    <row r="974" ht="15.75" customHeight="1">
      <c r="B974" s="3"/>
      <c r="C974" s="5"/>
      <c r="D974" s="5"/>
      <c r="E974" s="5"/>
      <c r="K974" s="8"/>
      <c r="O974" s="39"/>
      <c r="P974" s="33"/>
      <c r="S974" s="33"/>
      <c r="T974" s="33"/>
    </row>
    <row r="975" ht="15.75" customHeight="1">
      <c r="B975" s="3"/>
      <c r="C975" s="5"/>
      <c r="D975" s="5"/>
      <c r="E975" s="5"/>
      <c r="K975" s="8"/>
      <c r="O975" s="39"/>
      <c r="P975" s="33"/>
      <c r="S975" s="33"/>
      <c r="T975" s="33"/>
    </row>
    <row r="976" ht="15.75" customHeight="1">
      <c r="B976" s="3"/>
      <c r="C976" s="5"/>
      <c r="D976" s="5"/>
      <c r="E976" s="5"/>
      <c r="K976" s="8"/>
      <c r="O976" s="39"/>
      <c r="P976" s="33"/>
      <c r="S976" s="33"/>
      <c r="T976" s="33"/>
    </row>
    <row r="977" ht="15.75" customHeight="1">
      <c r="B977" s="3"/>
      <c r="C977" s="5"/>
      <c r="D977" s="5"/>
      <c r="E977" s="5"/>
      <c r="K977" s="8"/>
      <c r="O977" s="39"/>
      <c r="P977" s="33"/>
      <c r="S977" s="33"/>
      <c r="T977" s="33"/>
    </row>
    <row r="978" ht="15.75" customHeight="1">
      <c r="B978" s="3"/>
      <c r="C978" s="5"/>
      <c r="D978" s="5"/>
      <c r="E978" s="5"/>
      <c r="K978" s="8"/>
      <c r="O978" s="39"/>
      <c r="P978" s="33"/>
      <c r="S978" s="33"/>
      <c r="T978" s="33"/>
    </row>
    <row r="979" ht="15.75" customHeight="1">
      <c r="B979" s="3"/>
      <c r="C979" s="5"/>
      <c r="D979" s="5"/>
      <c r="E979" s="5"/>
      <c r="K979" s="8"/>
      <c r="O979" s="39"/>
      <c r="P979" s="33"/>
      <c r="S979" s="33"/>
      <c r="T979" s="33"/>
    </row>
    <row r="980" ht="15.75" customHeight="1">
      <c r="B980" s="3"/>
      <c r="C980" s="5"/>
      <c r="D980" s="5"/>
      <c r="E980" s="5"/>
      <c r="K980" s="8"/>
      <c r="O980" s="39"/>
      <c r="P980" s="33"/>
      <c r="S980" s="33"/>
      <c r="T980" s="33"/>
    </row>
    <row r="981" ht="15.75" customHeight="1">
      <c r="B981" s="3"/>
      <c r="C981" s="5"/>
      <c r="D981" s="5"/>
      <c r="E981" s="5"/>
      <c r="K981" s="8"/>
      <c r="O981" s="39"/>
      <c r="P981" s="33"/>
      <c r="S981" s="33"/>
      <c r="T981" s="33"/>
    </row>
    <row r="982" ht="15.75" customHeight="1">
      <c r="B982" s="3"/>
      <c r="C982" s="5"/>
      <c r="D982" s="5"/>
      <c r="E982" s="5"/>
      <c r="K982" s="8"/>
      <c r="O982" s="39"/>
      <c r="P982" s="33"/>
      <c r="S982" s="33"/>
      <c r="T982" s="33"/>
    </row>
    <row r="983" ht="15.75" customHeight="1">
      <c r="B983" s="3"/>
      <c r="C983" s="5"/>
      <c r="D983" s="5"/>
      <c r="E983" s="5"/>
      <c r="K983" s="8"/>
      <c r="O983" s="39"/>
      <c r="P983" s="33"/>
      <c r="S983" s="33"/>
      <c r="T983" s="33"/>
    </row>
    <row r="984" ht="15.75" customHeight="1">
      <c r="B984" s="3"/>
      <c r="C984" s="5"/>
      <c r="D984" s="5"/>
      <c r="E984" s="5"/>
      <c r="K984" s="8"/>
      <c r="O984" s="39"/>
      <c r="P984" s="33"/>
      <c r="S984" s="33"/>
      <c r="T984" s="33"/>
    </row>
    <row r="985" ht="15.75" customHeight="1">
      <c r="B985" s="3"/>
      <c r="C985" s="5"/>
      <c r="D985" s="5"/>
      <c r="E985" s="5"/>
      <c r="K985" s="8"/>
      <c r="O985" s="39"/>
      <c r="P985" s="33"/>
      <c r="S985" s="33"/>
      <c r="T985" s="33"/>
    </row>
    <row r="986" ht="15.75" customHeight="1">
      <c r="B986" s="3"/>
      <c r="C986" s="5"/>
      <c r="D986" s="5"/>
      <c r="E986" s="5"/>
      <c r="K986" s="8"/>
      <c r="O986" s="39"/>
      <c r="P986" s="33"/>
      <c r="S986" s="33"/>
      <c r="T986" s="33"/>
    </row>
    <row r="987" ht="15.75" customHeight="1">
      <c r="B987" s="3"/>
      <c r="C987" s="5"/>
      <c r="D987" s="5"/>
      <c r="E987" s="5"/>
      <c r="K987" s="8"/>
      <c r="O987" s="39"/>
      <c r="P987" s="33"/>
      <c r="S987" s="33"/>
      <c r="T987" s="33"/>
    </row>
    <row r="988" ht="15.75" customHeight="1">
      <c r="B988" s="3"/>
      <c r="C988" s="5"/>
      <c r="D988" s="5"/>
      <c r="E988" s="5"/>
      <c r="K988" s="8"/>
      <c r="O988" s="39"/>
      <c r="P988" s="33"/>
      <c r="S988" s="33"/>
      <c r="T988" s="33"/>
    </row>
    <row r="989" ht="15.75" customHeight="1">
      <c r="B989" s="3"/>
      <c r="C989" s="5"/>
      <c r="D989" s="5"/>
      <c r="E989" s="5"/>
      <c r="K989" s="8"/>
      <c r="O989" s="39"/>
      <c r="P989" s="33"/>
      <c r="S989" s="33"/>
      <c r="T989" s="33"/>
    </row>
    <row r="990" ht="15.75" customHeight="1">
      <c r="B990" s="3"/>
      <c r="C990" s="5"/>
      <c r="D990" s="5"/>
      <c r="E990" s="5"/>
      <c r="K990" s="8"/>
      <c r="O990" s="39"/>
      <c r="P990" s="33"/>
      <c r="S990" s="33"/>
      <c r="T990" s="33"/>
    </row>
    <row r="991" ht="15.75" customHeight="1">
      <c r="B991" s="3"/>
      <c r="C991" s="5"/>
      <c r="D991" s="5"/>
      <c r="E991" s="5"/>
      <c r="K991" s="8"/>
      <c r="O991" s="39"/>
      <c r="P991" s="33"/>
      <c r="S991" s="33"/>
      <c r="T991" s="33"/>
    </row>
    <row r="992" ht="15.75" customHeight="1">
      <c r="B992" s="3"/>
      <c r="C992" s="5"/>
      <c r="D992" s="5"/>
      <c r="E992" s="5"/>
      <c r="K992" s="8"/>
      <c r="O992" s="39"/>
      <c r="P992" s="33"/>
      <c r="S992" s="33"/>
      <c r="T992" s="33"/>
    </row>
    <row r="993" ht="15.75" customHeight="1">
      <c r="B993" s="3"/>
      <c r="C993" s="5"/>
      <c r="D993" s="5"/>
      <c r="E993" s="5"/>
      <c r="K993" s="8"/>
      <c r="O993" s="39"/>
      <c r="P993" s="33"/>
      <c r="S993" s="33"/>
      <c r="T993" s="33"/>
    </row>
    <row r="994" ht="15.75" customHeight="1">
      <c r="B994" s="3"/>
      <c r="C994" s="5"/>
      <c r="D994" s="5"/>
      <c r="E994" s="5"/>
      <c r="K994" s="8"/>
      <c r="O994" s="39"/>
      <c r="P994" s="33"/>
      <c r="S994" s="33"/>
      <c r="T994" s="33"/>
    </row>
    <row r="995" ht="15.75" customHeight="1">
      <c r="B995" s="3"/>
      <c r="C995" s="5"/>
      <c r="D995" s="5"/>
      <c r="E995" s="5"/>
      <c r="K995" s="8"/>
      <c r="O995" s="39"/>
      <c r="P995" s="33"/>
      <c r="S995" s="33"/>
      <c r="T995" s="33"/>
    </row>
    <row r="996" ht="15.75" customHeight="1">
      <c r="B996" s="3"/>
      <c r="C996" s="5"/>
      <c r="D996" s="5"/>
      <c r="E996" s="5"/>
      <c r="K996" s="8"/>
      <c r="O996" s="39"/>
      <c r="P996" s="33"/>
      <c r="S996" s="33"/>
      <c r="T996" s="33"/>
    </row>
    <row r="997" ht="15.75" customHeight="1">
      <c r="B997" s="3"/>
      <c r="C997" s="5"/>
      <c r="D997" s="5"/>
      <c r="E997" s="5"/>
      <c r="K997" s="8"/>
      <c r="O997" s="39"/>
      <c r="P997" s="33"/>
      <c r="S997" s="33"/>
      <c r="T997" s="33"/>
    </row>
    <row r="998" ht="15.75" customHeight="1">
      <c r="B998" s="3"/>
      <c r="C998" s="5"/>
      <c r="D998" s="5"/>
      <c r="E998" s="5"/>
      <c r="K998" s="8"/>
      <c r="O998" s="39"/>
      <c r="P998" s="33"/>
      <c r="S998" s="33"/>
      <c r="T998" s="33"/>
    </row>
    <row r="999" ht="15.75" customHeight="1">
      <c r="B999" s="3"/>
      <c r="C999" s="5"/>
      <c r="D999" s="5"/>
      <c r="E999" s="5"/>
      <c r="K999" s="8"/>
      <c r="O999" s="39"/>
      <c r="P999" s="33"/>
      <c r="S999" s="33"/>
      <c r="T999" s="33"/>
    </row>
    <row r="1000" ht="15.75" customHeight="1">
      <c r="B1000" s="3"/>
      <c r="C1000" s="5"/>
      <c r="D1000" s="5"/>
      <c r="E1000" s="5"/>
      <c r="K1000" s="8"/>
      <c r="O1000" s="39"/>
      <c r="P1000" s="33"/>
      <c r="S1000" s="33"/>
      <c r="T1000" s="33"/>
    </row>
    <row r="1001" ht="15.75" customHeight="1">
      <c r="B1001" s="3"/>
      <c r="C1001" s="5"/>
      <c r="D1001" s="5"/>
      <c r="E1001" s="5"/>
      <c r="K1001" s="8"/>
      <c r="O1001" s="39"/>
      <c r="P1001" s="33"/>
      <c r="S1001" s="33"/>
      <c r="T1001" s="33"/>
    </row>
    <row r="1002" ht="15.75" customHeight="1">
      <c r="B1002" s="3"/>
      <c r="C1002" s="5"/>
      <c r="D1002" s="5"/>
      <c r="E1002" s="5"/>
      <c r="K1002" s="8"/>
      <c r="O1002" s="39"/>
      <c r="P1002" s="33"/>
      <c r="S1002" s="33"/>
      <c r="T1002" s="33"/>
    </row>
    <row r="1003" ht="15.75" customHeight="1">
      <c r="B1003" s="3"/>
      <c r="C1003" s="5"/>
      <c r="D1003" s="5"/>
      <c r="E1003" s="5"/>
      <c r="K1003" s="8"/>
      <c r="O1003" s="39"/>
      <c r="P1003" s="33"/>
      <c r="S1003" s="33"/>
      <c r="T1003" s="33"/>
    </row>
    <row r="1004" ht="15.75" customHeight="1">
      <c r="B1004" s="3"/>
      <c r="C1004" s="5"/>
      <c r="D1004" s="5"/>
      <c r="E1004" s="5"/>
      <c r="K1004" s="8"/>
      <c r="O1004" s="39"/>
      <c r="P1004" s="33"/>
      <c r="S1004" s="33"/>
      <c r="T1004" s="33"/>
    </row>
    <row r="1005" ht="15.75" customHeight="1">
      <c r="B1005" s="3"/>
      <c r="C1005" s="5"/>
      <c r="D1005" s="5"/>
      <c r="E1005" s="5"/>
      <c r="K1005" s="8"/>
      <c r="O1005" s="39"/>
      <c r="P1005" s="33"/>
      <c r="S1005" s="33"/>
      <c r="T1005" s="33"/>
    </row>
    <row r="1006" ht="15.75" customHeight="1">
      <c r="B1006" s="3"/>
      <c r="C1006" s="5"/>
      <c r="D1006" s="5"/>
      <c r="E1006" s="5"/>
      <c r="K1006" s="8"/>
      <c r="O1006" s="39"/>
      <c r="P1006" s="33"/>
      <c r="S1006" s="33"/>
      <c r="T1006" s="33"/>
    </row>
    <row r="1007" ht="15.75" customHeight="1">
      <c r="B1007" s="3"/>
      <c r="C1007" s="5"/>
      <c r="D1007" s="5"/>
      <c r="E1007" s="5"/>
      <c r="K1007" s="8"/>
      <c r="O1007" s="39"/>
      <c r="P1007" s="33"/>
      <c r="S1007" s="33"/>
      <c r="T1007" s="33"/>
    </row>
    <row r="1008" ht="15.75" customHeight="1">
      <c r="B1008" s="3"/>
      <c r="C1008" s="5"/>
      <c r="D1008" s="5"/>
      <c r="E1008" s="5"/>
      <c r="K1008" s="8"/>
      <c r="O1008" s="39"/>
      <c r="P1008" s="33"/>
      <c r="S1008" s="33"/>
      <c r="T1008" s="33"/>
    </row>
    <row r="1009" ht="15.75" customHeight="1">
      <c r="B1009" s="3"/>
      <c r="C1009" s="5"/>
      <c r="D1009" s="5"/>
      <c r="E1009" s="5"/>
      <c r="K1009" s="8"/>
      <c r="O1009" s="39"/>
      <c r="P1009" s="33"/>
      <c r="S1009" s="33"/>
      <c r="T1009" s="33"/>
    </row>
    <row r="1010" ht="15.75" customHeight="1">
      <c r="B1010" s="3"/>
      <c r="C1010" s="5"/>
      <c r="D1010" s="5"/>
      <c r="E1010" s="5"/>
      <c r="K1010" s="8"/>
      <c r="O1010" s="39"/>
      <c r="P1010" s="33"/>
      <c r="S1010" s="33"/>
      <c r="T1010" s="33"/>
    </row>
    <row r="1011" ht="15.75" customHeight="1">
      <c r="B1011" s="3"/>
      <c r="C1011" s="5"/>
      <c r="D1011" s="5"/>
      <c r="E1011" s="5"/>
      <c r="K1011" s="8"/>
      <c r="O1011" s="39"/>
      <c r="P1011" s="33"/>
      <c r="S1011" s="33"/>
      <c r="T1011" s="33"/>
    </row>
    <row r="1012" ht="15.75" customHeight="1">
      <c r="B1012" s="3"/>
      <c r="C1012" s="5"/>
      <c r="D1012" s="5"/>
      <c r="E1012" s="5"/>
      <c r="K1012" s="8"/>
      <c r="O1012" s="39"/>
      <c r="P1012" s="33"/>
      <c r="S1012" s="33"/>
      <c r="T1012" s="33"/>
    </row>
    <row r="1013" ht="15.75" customHeight="1">
      <c r="B1013" s="3"/>
      <c r="C1013" s="5"/>
      <c r="D1013" s="5"/>
      <c r="E1013" s="5"/>
      <c r="K1013" s="8"/>
      <c r="O1013" s="39"/>
      <c r="P1013" s="33"/>
      <c r="S1013" s="33"/>
      <c r="T1013" s="33"/>
    </row>
    <row r="1014" ht="15.75" customHeight="1">
      <c r="B1014" s="3"/>
      <c r="C1014" s="5"/>
      <c r="D1014" s="5"/>
      <c r="E1014" s="5"/>
      <c r="K1014" s="8"/>
      <c r="O1014" s="39"/>
      <c r="P1014" s="33"/>
      <c r="S1014" s="33"/>
      <c r="T1014" s="33"/>
    </row>
    <row r="1015" ht="15.75" customHeight="1">
      <c r="B1015" s="3"/>
      <c r="C1015" s="5"/>
      <c r="D1015" s="5"/>
      <c r="E1015" s="5"/>
      <c r="K1015" s="8"/>
      <c r="O1015" s="39"/>
      <c r="P1015" s="33"/>
      <c r="S1015" s="33"/>
      <c r="T1015" s="33"/>
    </row>
    <row r="1016" ht="15.75" customHeight="1">
      <c r="B1016" s="3"/>
      <c r="C1016" s="5"/>
      <c r="D1016" s="5"/>
      <c r="E1016" s="5"/>
      <c r="K1016" s="8"/>
      <c r="O1016" s="39"/>
      <c r="P1016" s="33"/>
      <c r="S1016" s="33"/>
      <c r="T1016" s="33"/>
    </row>
    <row r="1017" ht="15.75" customHeight="1">
      <c r="B1017" s="3"/>
      <c r="C1017" s="5"/>
      <c r="D1017" s="5"/>
      <c r="E1017" s="5"/>
      <c r="K1017" s="8"/>
      <c r="O1017" s="39"/>
      <c r="P1017" s="33"/>
      <c r="S1017" s="33"/>
      <c r="T1017" s="33"/>
    </row>
    <row r="1018" ht="15.75" customHeight="1">
      <c r="B1018" s="3"/>
      <c r="C1018" s="5"/>
      <c r="D1018" s="5"/>
      <c r="E1018" s="5"/>
      <c r="K1018" s="8"/>
      <c r="O1018" s="39"/>
      <c r="P1018" s="33"/>
      <c r="S1018" s="33"/>
      <c r="T1018" s="33"/>
    </row>
    <row r="1019" ht="15.75" customHeight="1">
      <c r="B1019" s="3"/>
      <c r="C1019" s="5"/>
      <c r="D1019" s="5"/>
      <c r="E1019" s="5"/>
      <c r="K1019" s="8"/>
      <c r="O1019" s="39"/>
      <c r="P1019" s="33"/>
      <c r="S1019" s="33"/>
      <c r="T1019" s="33"/>
    </row>
    <row r="1020" ht="15.75" customHeight="1">
      <c r="B1020" s="3"/>
      <c r="C1020" s="5"/>
      <c r="D1020" s="5"/>
      <c r="E1020" s="5"/>
      <c r="K1020" s="8"/>
      <c r="O1020" s="39"/>
      <c r="P1020" s="33"/>
      <c r="S1020" s="33"/>
      <c r="T1020" s="33"/>
    </row>
    <row r="1021" ht="15.75" customHeight="1">
      <c r="B1021" s="3"/>
      <c r="C1021" s="5"/>
      <c r="D1021" s="5"/>
      <c r="E1021" s="5"/>
      <c r="K1021" s="8"/>
      <c r="O1021" s="39"/>
      <c r="P1021" s="33"/>
      <c r="S1021" s="33"/>
      <c r="T1021" s="33"/>
    </row>
    <row r="1022" ht="15.75" customHeight="1">
      <c r="B1022" s="3"/>
      <c r="C1022" s="5"/>
      <c r="D1022" s="5"/>
      <c r="E1022" s="5"/>
      <c r="K1022" s="8"/>
      <c r="O1022" s="39"/>
      <c r="P1022" s="33"/>
      <c r="S1022" s="33"/>
      <c r="T1022" s="33"/>
    </row>
    <row r="1023" ht="15.75" customHeight="1">
      <c r="B1023" s="3"/>
      <c r="C1023" s="5"/>
      <c r="D1023" s="5"/>
      <c r="E1023" s="5"/>
      <c r="K1023" s="8"/>
      <c r="O1023" s="39"/>
      <c r="P1023" s="33"/>
      <c r="S1023" s="33"/>
      <c r="T1023" s="33"/>
    </row>
    <row r="1024" ht="15.75" customHeight="1">
      <c r="B1024" s="3"/>
      <c r="C1024" s="5"/>
      <c r="D1024" s="5"/>
      <c r="E1024" s="5"/>
      <c r="K1024" s="8"/>
      <c r="O1024" s="39"/>
      <c r="P1024" s="33"/>
      <c r="S1024" s="33"/>
      <c r="T1024" s="33"/>
    </row>
    <row r="1025" ht="15.75" customHeight="1">
      <c r="B1025" s="3"/>
      <c r="C1025" s="5"/>
      <c r="D1025" s="5"/>
      <c r="E1025" s="5"/>
      <c r="K1025" s="8"/>
      <c r="O1025" s="39"/>
      <c r="P1025" s="33"/>
      <c r="S1025" s="33"/>
      <c r="T1025" s="33"/>
    </row>
    <row r="1026" ht="15.75" customHeight="1">
      <c r="B1026" s="3"/>
      <c r="C1026" s="5"/>
      <c r="D1026" s="5"/>
      <c r="E1026" s="5"/>
      <c r="K1026" s="8"/>
      <c r="O1026" s="39"/>
      <c r="P1026" s="33"/>
      <c r="S1026" s="33"/>
      <c r="T1026" s="33"/>
    </row>
    <row r="1027" ht="15.75" customHeight="1">
      <c r="B1027" s="3"/>
      <c r="C1027" s="5"/>
      <c r="D1027" s="5"/>
      <c r="E1027" s="5"/>
      <c r="K1027" s="8"/>
      <c r="O1027" s="39"/>
      <c r="P1027" s="33"/>
      <c r="S1027" s="33"/>
      <c r="T1027" s="33"/>
    </row>
    <row r="1028" ht="15.75" customHeight="1">
      <c r="B1028" s="3"/>
      <c r="C1028" s="5"/>
      <c r="D1028" s="5"/>
      <c r="E1028" s="5"/>
      <c r="K1028" s="8"/>
      <c r="O1028" s="39"/>
      <c r="P1028" s="33"/>
      <c r="S1028" s="33"/>
      <c r="T1028" s="33"/>
    </row>
    <row r="1029" ht="15.75" customHeight="1">
      <c r="B1029" s="3"/>
      <c r="C1029" s="5"/>
      <c r="D1029" s="5"/>
      <c r="E1029" s="5"/>
      <c r="K1029" s="8"/>
      <c r="O1029" s="39"/>
      <c r="P1029" s="33"/>
      <c r="S1029" s="33"/>
      <c r="T1029" s="33"/>
    </row>
    <row r="1030" ht="15.75" customHeight="1">
      <c r="B1030" s="3"/>
      <c r="C1030" s="5"/>
      <c r="D1030" s="5"/>
      <c r="E1030" s="5"/>
      <c r="K1030" s="8"/>
      <c r="O1030" s="39"/>
      <c r="P1030" s="33"/>
      <c r="S1030" s="33"/>
      <c r="T1030" s="33"/>
    </row>
    <row r="1031" ht="15.75" customHeight="1">
      <c r="B1031" s="3"/>
      <c r="C1031" s="5"/>
      <c r="D1031" s="5"/>
      <c r="E1031" s="5"/>
      <c r="K1031" s="8"/>
      <c r="O1031" s="39"/>
      <c r="P1031" s="33"/>
      <c r="S1031" s="33"/>
      <c r="T1031" s="33"/>
    </row>
    <row r="1032" ht="15.75" customHeight="1">
      <c r="B1032" s="3"/>
      <c r="C1032" s="5"/>
      <c r="D1032" s="5"/>
      <c r="E1032" s="5"/>
      <c r="K1032" s="8"/>
      <c r="O1032" s="39"/>
      <c r="P1032" s="33"/>
      <c r="S1032" s="33"/>
      <c r="T1032" s="33"/>
    </row>
    <row r="1033" ht="15.75" customHeight="1">
      <c r="B1033" s="3"/>
      <c r="C1033" s="5"/>
      <c r="D1033" s="5"/>
      <c r="E1033" s="5"/>
      <c r="K1033" s="8"/>
      <c r="O1033" s="39"/>
      <c r="P1033" s="33"/>
      <c r="S1033" s="33"/>
      <c r="T1033" s="33"/>
    </row>
    <row r="1034" ht="15.75" customHeight="1">
      <c r="B1034" s="3"/>
      <c r="C1034" s="5"/>
      <c r="D1034" s="5"/>
      <c r="E1034" s="5"/>
      <c r="K1034" s="8"/>
      <c r="O1034" s="39"/>
      <c r="P1034" s="33"/>
      <c r="S1034" s="33"/>
      <c r="T1034" s="33"/>
    </row>
    <row r="1035" ht="15.75" customHeight="1">
      <c r="B1035" s="3"/>
      <c r="C1035" s="5"/>
      <c r="D1035" s="5"/>
      <c r="E1035" s="5"/>
      <c r="K1035" s="8"/>
      <c r="O1035" s="39"/>
      <c r="P1035" s="33"/>
      <c r="S1035" s="33"/>
      <c r="T1035" s="33"/>
    </row>
    <row r="1036" ht="15.75" customHeight="1">
      <c r="B1036" s="3"/>
      <c r="C1036" s="5"/>
      <c r="D1036" s="5"/>
      <c r="E1036" s="5"/>
      <c r="K1036" s="8"/>
      <c r="O1036" s="39"/>
      <c r="P1036" s="33"/>
      <c r="S1036" s="33"/>
      <c r="T1036" s="33"/>
    </row>
    <row r="1037" ht="15.75" customHeight="1">
      <c r="B1037" s="3"/>
      <c r="C1037" s="5"/>
      <c r="D1037" s="5"/>
      <c r="E1037" s="5"/>
      <c r="K1037" s="8"/>
      <c r="O1037" s="39"/>
      <c r="P1037" s="33"/>
      <c r="S1037" s="33"/>
      <c r="T1037" s="33"/>
    </row>
    <row r="1038" ht="15.75" customHeight="1">
      <c r="B1038" s="3"/>
      <c r="C1038" s="5"/>
      <c r="D1038" s="5"/>
      <c r="E1038" s="5"/>
      <c r="K1038" s="8"/>
      <c r="O1038" s="39"/>
      <c r="P1038" s="33"/>
      <c r="S1038" s="33"/>
      <c r="T1038" s="33"/>
    </row>
    <row r="1039" ht="15.75" customHeight="1">
      <c r="B1039" s="3"/>
      <c r="C1039" s="5"/>
      <c r="D1039" s="5"/>
      <c r="E1039" s="5"/>
      <c r="K1039" s="8"/>
      <c r="O1039" s="39"/>
      <c r="P1039" s="33"/>
      <c r="S1039" s="33"/>
      <c r="T1039" s="33"/>
    </row>
    <row r="1040" ht="15.75" customHeight="1">
      <c r="B1040" s="3"/>
      <c r="C1040" s="5"/>
      <c r="D1040" s="5"/>
      <c r="E1040" s="5"/>
      <c r="K1040" s="8"/>
      <c r="O1040" s="39"/>
      <c r="P1040" s="33"/>
      <c r="S1040" s="33"/>
      <c r="T1040" s="33"/>
    </row>
    <row r="1041" ht="15.75" customHeight="1">
      <c r="B1041" s="3"/>
      <c r="C1041" s="5"/>
      <c r="D1041" s="5"/>
      <c r="E1041" s="5"/>
      <c r="K1041" s="8"/>
      <c r="O1041" s="39"/>
      <c r="P1041" s="33"/>
      <c r="S1041" s="33"/>
      <c r="T1041" s="33"/>
    </row>
    <row r="1042" ht="15.75" customHeight="1">
      <c r="B1042" s="3"/>
      <c r="C1042" s="5"/>
      <c r="D1042" s="5"/>
      <c r="E1042" s="5"/>
      <c r="K1042" s="8"/>
      <c r="O1042" s="39"/>
      <c r="P1042" s="33"/>
      <c r="S1042" s="33"/>
      <c r="T1042" s="33"/>
    </row>
    <row r="1043" ht="15.75" customHeight="1">
      <c r="B1043" s="3"/>
      <c r="C1043" s="5"/>
      <c r="D1043" s="5"/>
      <c r="E1043" s="5"/>
      <c r="K1043" s="8"/>
      <c r="O1043" s="39"/>
      <c r="P1043" s="33"/>
      <c r="S1043" s="33"/>
      <c r="T1043" s="33"/>
    </row>
    <row r="1044" ht="15.75" customHeight="1">
      <c r="B1044" s="3"/>
      <c r="C1044" s="5"/>
      <c r="D1044" s="5"/>
      <c r="E1044" s="5"/>
      <c r="K1044" s="8"/>
      <c r="O1044" s="39"/>
      <c r="P1044" s="33"/>
      <c r="S1044" s="33"/>
      <c r="T1044" s="33"/>
    </row>
    <row r="1045" ht="15.75" customHeight="1">
      <c r="B1045" s="3"/>
      <c r="C1045" s="5"/>
      <c r="D1045" s="5"/>
      <c r="E1045" s="5"/>
      <c r="K1045" s="8"/>
      <c r="O1045" s="39"/>
      <c r="P1045" s="33"/>
      <c r="S1045" s="33"/>
      <c r="T1045" s="33"/>
    </row>
    <row r="1046" ht="15.75" customHeight="1">
      <c r="B1046" s="3"/>
      <c r="C1046" s="5"/>
      <c r="D1046" s="5"/>
      <c r="E1046" s="5"/>
      <c r="K1046" s="8"/>
      <c r="O1046" s="39"/>
      <c r="P1046" s="33"/>
      <c r="S1046" s="33"/>
      <c r="T1046" s="33"/>
    </row>
    <row r="1047" ht="15.75" customHeight="1">
      <c r="B1047" s="3"/>
      <c r="C1047" s="5"/>
      <c r="D1047" s="5"/>
      <c r="E1047" s="5"/>
      <c r="K1047" s="8"/>
      <c r="O1047" s="39"/>
      <c r="P1047" s="33"/>
      <c r="S1047" s="33"/>
      <c r="T1047" s="33"/>
    </row>
    <row r="1048" ht="15.75" customHeight="1">
      <c r="B1048" s="3"/>
      <c r="C1048" s="5"/>
      <c r="D1048" s="5"/>
      <c r="E1048" s="5"/>
      <c r="K1048" s="8"/>
      <c r="O1048" s="39"/>
      <c r="P1048" s="33"/>
      <c r="S1048" s="33"/>
      <c r="T1048" s="33"/>
    </row>
    <row r="1049" ht="15.75" customHeight="1">
      <c r="B1049" s="3"/>
      <c r="C1049" s="5"/>
      <c r="D1049" s="5"/>
      <c r="E1049" s="5"/>
      <c r="K1049" s="8"/>
      <c r="O1049" s="39"/>
      <c r="P1049" s="33"/>
      <c r="S1049" s="33"/>
      <c r="T1049" s="33"/>
    </row>
    <row r="1050" ht="15.75" customHeight="1">
      <c r="B1050" s="3"/>
      <c r="C1050" s="5"/>
      <c r="D1050" s="5"/>
      <c r="E1050" s="5"/>
      <c r="K1050" s="8"/>
      <c r="O1050" s="39"/>
      <c r="P1050" s="33"/>
      <c r="S1050" s="33"/>
      <c r="T1050" s="33"/>
    </row>
    <row r="1051" ht="15.75" customHeight="1">
      <c r="B1051" s="3"/>
      <c r="C1051" s="5"/>
      <c r="D1051" s="5"/>
      <c r="E1051" s="5"/>
      <c r="K1051" s="8"/>
      <c r="O1051" s="39"/>
      <c r="P1051" s="33"/>
      <c r="S1051" s="33"/>
      <c r="T1051" s="33"/>
    </row>
    <row r="1052" ht="15.75" customHeight="1">
      <c r="B1052" s="3"/>
      <c r="C1052" s="5"/>
      <c r="D1052" s="5"/>
      <c r="E1052" s="5"/>
      <c r="K1052" s="8"/>
      <c r="O1052" s="39"/>
      <c r="P1052" s="33"/>
      <c r="S1052" s="33"/>
      <c r="T1052" s="33"/>
    </row>
    <row r="1053" ht="15.75" customHeight="1">
      <c r="B1053" s="3"/>
      <c r="C1053" s="5"/>
      <c r="D1053" s="5"/>
      <c r="E1053" s="5"/>
      <c r="K1053" s="8"/>
      <c r="O1053" s="39"/>
      <c r="P1053" s="33"/>
      <c r="S1053" s="33"/>
      <c r="T1053" s="33"/>
    </row>
    <row r="1054" ht="15.75" customHeight="1">
      <c r="B1054" s="3"/>
      <c r="C1054" s="5"/>
      <c r="D1054" s="5"/>
      <c r="E1054" s="5"/>
      <c r="K1054" s="8"/>
      <c r="O1054" s="39"/>
      <c r="P1054" s="33"/>
      <c r="S1054" s="33"/>
      <c r="T1054" s="33"/>
    </row>
    <row r="1055" ht="15.75" customHeight="1">
      <c r="B1055" s="3"/>
      <c r="C1055" s="5"/>
      <c r="D1055" s="5"/>
      <c r="E1055" s="5"/>
      <c r="K1055" s="8"/>
      <c r="O1055" s="39"/>
      <c r="P1055" s="33"/>
      <c r="S1055" s="33"/>
      <c r="T1055" s="33"/>
    </row>
    <row r="1056" ht="15.75" customHeight="1">
      <c r="B1056" s="3"/>
      <c r="C1056" s="5"/>
      <c r="D1056" s="5"/>
      <c r="E1056" s="5"/>
      <c r="K1056" s="8"/>
      <c r="O1056" s="39"/>
      <c r="P1056" s="33"/>
      <c r="S1056" s="33"/>
      <c r="T1056" s="33"/>
    </row>
    <row r="1057" ht="15.75" customHeight="1">
      <c r="B1057" s="3"/>
      <c r="C1057" s="5"/>
      <c r="D1057" s="5"/>
      <c r="E1057" s="5"/>
      <c r="K1057" s="8"/>
      <c r="O1057" s="39"/>
      <c r="P1057" s="33"/>
      <c r="S1057" s="33"/>
      <c r="T1057" s="33"/>
    </row>
    <row r="1058" ht="15.75" customHeight="1">
      <c r="B1058" s="3"/>
      <c r="C1058" s="5"/>
      <c r="D1058" s="5"/>
      <c r="E1058" s="5"/>
      <c r="K1058" s="8"/>
      <c r="O1058" s="39"/>
      <c r="P1058" s="33"/>
      <c r="S1058" s="33"/>
      <c r="T1058" s="33"/>
    </row>
    <row r="1059" ht="15.75" customHeight="1">
      <c r="B1059" s="3"/>
      <c r="C1059" s="5"/>
      <c r="D1059" s="5"/>
      <c r="E1059" s="5"/>
      <c r="K1059" s="8"/>
      <c r="O1059" s="39"/>
      <c r="P1059" s="33"/>
      <c r="S1059" s="33"/>
      <c r="T1059" s="33"/>
    </row>
    <row r="1060" ht="15.75" customHeight="1">
      <c r="B1060" s="3"/>
      <c r="C1060" s="5"/>
      <c r="D1060" s="5"/>
      <c r="E1060" s="5"/>
      <c r="K1060" s="8"/>
      <c r="O1060" s="39"/>
      <c r="P1060" s="33"/>
      <c r="S1060" s="33"/>
      <c r="T1060" s="33"/>
    </row>
    <row r="1061" ht="15.75" customHeight="1">
      <c r="B1061" s="3"/>
      <c r="C1061" s="5"/>
      <c r="D1061" s="5"/>
      <c r="E1061" s="5"/>
      <c r="K1061" s="8"/>
      <c r="O1061" s="39"/>
      <c r="P1061" s="33"/>
      <c r="S1061" s="33"/>
      <c r="T1061" s="33"/>
    </row>
    <row r="1062" ht="15.75" customHeight="1">
      <c r="B1062" s="3"/>
      <c r="C1062" s="5"/>
      <c r="D1062" s="5"/>
      <c r="E1062" s="5"/>
      <c r="K1062" s="8"/>
      <c r="O1062" s="39"/>
      <c r="P1062" s="33"/>
      <c r="S1062" s="33"/>
      <c r="T1062" s="33"/>
    </row>
    <row r="1063" ht="15.75" customHeight="1">
      <c r="B1063" s="3"/>
      <c r="C1063" s="5"/>
      <c r="D1063" s="5"/>
      <c r="E1063" s="5"/>
      <c r="K1063" s="8"/>
      <c r="O1063" s="39"/>
      <c r="P1063" s="33"/>
      <c r="S1063" s="33"/>
      <c r="T1063" s="33"/>
    </row>
    <row r="1064" ht="15.75" customHeight="1">
      <c r="B1064" s="3"/>
      <c r="C1064" s="5"/>
      <c r="D1064" s="5"/>
      <c r="E1064" s="5"/>
      <c r="K1064" s="8"/>
      <c r="O1064" s="39"/>
      <c r="P1064" s="33"/>
      <c r="S1064" s="33"/>
      <c r="T1064" s="33"/>
    </row>
    <row r="1065" ht="15.75" customHeight="1">
      <c r="B1065" s="3"/>
      <c r="C1065" s="5"/>
      <c r="D1065" s="5"/>
      <c r="E1065" s="5"/>
      <c r="K1065" s="8"/>
      <c r="O1065" s="39"/>
      <c r="P1065" s="33"/>
      <c r="S1065" s="33"/>
      <c r="T1065" s="33"/>
    </row>
    <row r="1066" ht="15.75" customHeight="1">
      <c r="B1066" s="3"/>
      <c r="C1066" s="5"/>
      <c r="D1066" s="5"/>
      <c r="E1066" s="5"/>
      <c r="K1066" s="8"/>
      <c r="O1066" s="39"/>
      <c r="P1066" s="33"/>
      <c r="S1066" s="33"/>
      <c r="T1066" s="33"/>
    </row>
    <row r="1067" ht="15.75" customHeight="1">
      <c r="B1067" s="3"/>
      <c r="C1067" s="5"/>
      <c r="D1067" s="5"/>
      <c r="E1067" s="5"/>
      <c r="K1067" s="8"/>
      <c r="O1067" s="39"/>
      <c r="P1067" s="33"/>
      <c r="S1067" s="33"/>
      <c r="T1067" s="33"/>
    </row>
    <row r="1068" ht="15.75" customHeight="1">
      <c r="B1068" s="3"/>
      <c r="C1068" s="5"/>
      <c r="D1068" s="5"/>
      <c r="E1068" s="5"/>
      <c r="K1068" s="8"/>
      <c r="O1068" s="39"/>
      <c r="P1068" s="33"/>
      <c r="S1068" s="33"/>
      <c r="T1068" s="33"/>
    </row>
    <row r="1069" ht="15.75" customHeight="1">
      <c r="B1069" s="3"/>
      <c r="C1069" s="5"/>
      <c r="D1069" s="5"/>
      <c r="E1069" s="5"/>
      <c r="K1069" s="8"/>
      <c r="O1069" s="39"/>
      <c r="P1069" s="33"/>
      <c r="S1069" s="33"/>
      <c r="T1069" s="33"/>
    </row>
    <row r="1070" ht="15.75" customHeight="1">
      <c r="B1070" s="3"/>
      <c r="C1070" s="5"/>
      <c r="D1070" s="5"/>
      <c r="E1070" s="5"/>
      <c r="K1070" s="8"/>
      <c r="O1070" s="39"/>
      <c r="P1070" s="33"/>
      <c r="S1070" s="33"/>
      <c r="T1070" s="33"/>
    </row>
    <row r="1071" ht="15.75" customHeight="1">
      <c r="B1071" s="3"/>
      <c r="C1071" s="5"/>
      <c r="D1071" s="5"/>
      <c r="E1071" s="5"/>
      <c r="K1071" s="8"/>
      <c r="O1071" s="39"/>
      <c r="P1071" s="33"/>
      <c r="S1071" s="33"/>
      <c r="T1071" s="33"/>
    </row>
    <row r="1072" ht="15.75" customHeight="1">
      <c r="B1072" s="3"/>
      <c r="C1072" s="5"/>
      <c r="D1072" s="5"/>
      <c r="E1072" s="5"/>
      <c r="K1072" s="8"/>
      <c r="O1072" s="39"/>
      <c r="P1072" s="33"/>
      <c r="S1072" s="33"/>
      <c r="T1072" s="33"/>
    </row>
    <row r="1073" ht="15.75" customHeight="1">
      <c r="B1073" s="3"/>
      <c r="C1073" s="5"/>
      <c r="D1073" s="5"/>
      <c r="E1073" s="5"/>
      <c r="K1073" s="8"/>
      <c r="O1073" s="39"/>
      <c r="P1073" s="33"/>
      <c r="S1073" s="33"/>
      <c r="T1073" s="33"/>
    </row>
    <row r="1074" ht="15.75" customHeight="1">
      <c r="B1074" s="3"/>
      <c r="C1074" s="5"/>
      <c r="D1074" s="5"/>
      <c r="E1074" s="5"/>
      <c r="K1074" s="8"/>
      <c r="O1074" s="39"/>
      <c r="P1074" s="33"/>
      <c r="S1074" s="33"/>
      <c r="T1074" s="33"/>
    </row>
    <row r="1075" ht="15.75" customHeight="1">
      <c r="B1075" s="3"/>
      <c r="C1075" s="5"/>
      <c r="D1075" s="5"/>
      <c r="E1075" s="5"/>
      <c r="K1075" s="8"/>
      <c r="O1075" s="39"/>
      <c r="P1075" s="33"/>
      <c r="S1075" s="33"/>
      <c r="T1075" s="33"/>
    </row>
    <row r="1076" ht="15.75" customHeight="1">
      <c r="B1076" s="3"/>
      <c r="C1076" s="5"/>
      <c r="D1076" s="5"/>
      <c r="E1076" s="5"/>
      <c r="K1076" s="8"/>
      <c r="O1076" s="39"/>
      <c r="P1076" s="33"/>
      <c r="S1076" s="33"/>
      <c r="T1076" s="33"/>
    </row>
    <row r="1077" ht="15.75" customHeight="1">
      <c r="B1077" s="3"/>
      <c r="C1077" s="5"/>
      <c r="D1077" s="5"/>
      <c r="E1077" s="5"/>
      <c r="K1077" s="8"/>
      <c r="O1077" s="39"/>
      <c r="P1077" s="33"/>
      <c r="S1077" s="33"/>
      <c r="T1077" s="33"/>
    </row>
    <row r="1078" ht="15.75" customHeight="1">
      <c r="B1078" s="3"/>
      <c r="C1078" s="5"/>
      <c r="D1078" s="5"/>
      <c r="E1078" s="5"/>
      <c r="K1078" s="8"/>
      <c r="O1078" s="39"/>
      <c r="P1078" s="33"/>
      <c r="S1078" s="33"/>
      <c r="T1078" s="33"/>
    </row>
    <row r="1079" ht="15.75" customHeight="1">
      <c r="B1079" s="3"/>
      <c r="C1079" s="5"/>
      <c r="D1079" s="5"/>
      <c r="E1079" s="5"/>
      <c r="K1079" s="8"/>
      <c r="O1079" s="39"/>
      <c r="P1079" s="33"/>
      <c r="S1079" s="33"/>
      <c r="T1079" s="33"/>
    </row>
    <row r="1080" ht="15.75" customHeight="1">
      <c r="B1080" s="3"/>
      <c r="C1080" s="5"/>
      <c r="D1080" s="5"/>
      <c r="E1080" s="5"/>
      <c r="K1080" s="8"/>
      <c r="O1080" s="39"/>
      <c r="P1080" s="33"/>
      <c r="S1080" s="33"/>
      <c r="T1080" s="33"/>
    </row>
    <row r="1081" ht="15.75" customHeight="1">
      <c r="B1081" s="3"/>
      <c r="C1081" s="5"/>
      <c r="D1081" s="5"/>
      <c r="E1081" s="5"/>
      <c r="K1081" s="8"/>
      <c r="O1081" s="39"/>
      <c r="P1081" s="33"/>
      <c r="S1081" s="33"/>
      <c r="T1081" s="33"/>
    </row>
    <row r="1082" ht="15.75" customHeight="1">
      <c r="B1082" s="3"/>
      <c r="C1082" s="5"/>
      <c r="D1082" s="5"/>
      <c r="E1082" s="5"/>
      <c r="K1082" s="8"/>
      <c r="O1082" s="39"/>
      <c r="P1082" s="33"/>
      <c r="S1082" s="33"/>
      <c r="T1082" s="33"/>
    </row>
    <row r="1083" ht="15.75" customHeight="1">
      <c r="B1083" s="3"/>
      <c r="C1083" s="5"/>
      <c r="D1083" s="5"/>
      <c r="E1083" s="5"/>
      <c r="K1083" s="8"/>
      <c r="O1083" s="39"/>
      <c r="P1083" s="33"/>
      <c r="S1083" s="33"/>
      <c r="T1083" s="33"/>
    </row>
    <row r="1084" ht="15.75" customHeight="1">
      <c r="B1084" s="3"/>
      <c r="C1084" s="5"/>
      <c r="D1084" s="5"/>
      <c r="E1084" s="5"/>
      <c r="K1084" s="8"/>
      <c r="O1084" s="39"/>
      <c r="P1084" s="33"/>
      <c r="S1084" s="33"/>
      <c r="T1084" s="33"/>
    </row>
    <row r="1085" ht="15.75" customHeight="1">
      <c r="B1085" s="3"/>
      <c r="C1085" s="5"/>
      <c r="D1085" s="5"/>
      <c r="E1085" s="5"/>
      <c r="K1085" s="8"/>
      <c r="O1085" s="39"/>
      <c r="P1085" s="33"/>
      <c r="S1085" s="33"/>
      <c r="T1085" s="33"/>
    </row>
    <row r="1086" ht="15.75" customHeight="1">
      <c r="B1086" s="3"/>
      <c r="C1086" s="5"/>
      <c r="D1086" s="5"/>
      <c r="E1086" s="5"/>
      <c r="K1086" s="8"/>
      <c r="O1086" s="39"/>
      <c r="P1086" s="33"/>
      <c r="S1086" s="33"/>
      <c r="T1086" s="33"/>
    </row>
    <row r="1087" ht="15.75" customHeight="1">
      <c r="B1087" s="3"/>
      <c r="C1087" s="5"/>
      <c r="D1087" s="5"/>
      <c r="E1087" s="5"/>
      <c r="K1087" s="8"/>
      <c r="O1087" s="39"/>
      <c r="P1087" s="33"/>
      <c r="S1087" s="33"/>
      <c r="T1087" s="33"/>
    </row>
    <row r="1088" ht="15.75" customHeight="1">
      <c r="B1088" s="3"/>
      <c r="C1088" s="5"/>
      <c r="D1088" s="5"/>
      <c r="E1088" s="5"/>
      <c r="K1088" s="8"/>
      <c r="O1088" s="39"/>
      <c r="P1088" s="33"/>
      <c r="S1088" s="33"/>
      <c r="T1088" s="33"/>
    </row>
    <row r="1089" ht="15.75" customHeight="1">
      <c r="B1089" s="3"/>
      <c r="C1089" s="5"/>
      <c r="D1089" s="5"/>
      <c r="E1089" s="5"/>
      <c r="K1089" s="8"/>
      <c r="O1089" s="39"/>
      <c r="P1089" s="33"/>
      <c r="S1089" s="33"/>
      <c r="T1089" s="33"/>
    </row>
    <row r="1090" ht="15.75" customHeight="1">
      <c r="B1090" s="3"/>
      <c r="C1090" s="5"/>
      <c r="D1090" s="5"/>
      <c r="E1090" s="5"/>
      <c r="K1090" s="8"/>
      <c r="O1090" s="39"/>
      <c r="P1090" s="33"/>
      <c r="S1090" s="33"/>
      <c r="T1090" s="33"/>
    </row>
    <row r="1091" ht="15.75" customHeight="1">
      <c r="B1091" s="3"/>
      <c r="C1091" s="5"/>
      <c r="D1091" s="5"/>
      <c r="E1091" s="5"/>
      <c r="K1091" s="8"/>
      <c r="O1091" s="39"/>
      <c r="P1091" s="33"/>
      <c r="S1091" s="33"/>
      <c r="T1091" s="33"/>
    </row>
    <row r="1092" ht="15.75" customHeight="1">
      <c r="B1092" s="3"/>
      <c r="C1092" s="5"/>
      <c r="D1092" s="5"/>
      <c r="E1092" s="5"/>
      <c r="K1092" s="8"/>
      <c r="O1092" s="39"/>
      <c r="P1092" s="33"/>
      <c r="S1092" s="33"/>
      <c r="T1092" s="33"/>
    </row>
    <row r="1093" ht="15.75" customHeight="1">
      <c r="B1093" s="3"/>
      <c r="C1093" s="5"/>
      <c r="D1093" s="5"/>
      <c r="E1093" s="5"/>
      <c r="K1093" s="8"/>
      <c r="O1093" s="39"/>
      <c r="P1093" s="33"/>
      <c r="S1093" s="33"/>
      <c r="T1093" s="33"/>
    </row>
    <row r="1094" ht="15.75" customHeight="1">
      <c r="B1094" s="3"/>
      <c r="C1094" s="5"/>
      <c r="D1094" s="5"/>
      <c r="E1094" s="5"/>
      <c r="K1094" s="8"/>
      <c r="O1094" s="39"/>
      <c r="P1094" s="33"/>
      <c r="S1094" s="33"/>
      <c r="T1094" s="33"/>
    </row>
    <row r="1095" ht="15.75" customHeight="1">
      <c r="B1095" s="3"/>
      <c r="C1095" s="5"/>
      <c r="D1095" s="5"/>
      <c r="E1095" s="5"/>
      <c r="K1095" s="8"/>
      <c r="O1095" s="39"/>
      <c r="P1095" s="33"/>
      <c r="S1095" s="33"/>
      <c r="T1095" s="33"/>
    </row>
    <row r="1096" ht="15.75" customHeight="1">
      <c r="B1096" s="3"/>
      <c r="C1096" s="5"/>
      <c r="D1096" s="5"/>
      <c r="E1096" s="5"/>
      <c r="K1096" s="8"/>
      <c r="O1096" s="39"/>
      <c r="P1096" s="33"/>
      <c r="S1096" s="33"/>
      <c r="T1096" s="33"/>
    </row>
    <row r="1097" ht="15.75" customHeight="1">
      <c r="B1097" s="3"/>
      <c r="C1097" s="5"/>
      <c r="D1097" s="5"/>
      <c r="E1097" s="5"/>
      <c r="K1097" s="8"/>
      <c r="O1097" s="39"/>
      <c r="P1097" s="33"/>
      <c r="S1097" s="33"/>
      <c r="T1097" s="33"/>
    </row>
    <row r="1098" ht="15.75" customHeight="1">
      <c r="B1098" s="3"/>
      <c r="C1098" s="5"/>
      <c r="D1098" s="5"/>
      <c r="E1098" s="5"/>
      <c r="K1098" s="8"/>
      <c r="O1098" s="39"/>
      <c r="P1098" s="33"/>
      <c r="S1098" s="33"/>
      <c r="T1098" s="33"/>
    </row>
    <row r="1099" ht="15.75" customHeight="1">
      <c r="B1099" s="3"/>
      <c r="C1099" s="5"/>
      <c r="D1099" s="5"/>
      <c r="E1099" s="5"/>
      <c r="K1099" s="8"/>
      <c r="O1099" s="39"/>
      <c r="P1099" s="33"/>
      <c r="S1099" s="33"/>
      <c r="T1099" s="33"/>
    </row>
    <row r="1100" ht="15.75" customHeight="1">
      <c r="B1100" s="3"/>
      <c r="C1100" s="5"/>
      <c r="D1100" s="5"/>
      <c r="E1100" s="5"/>
      <c r="K1100" s="8"/>
      <c r="O1100" s="39"/>
      <c r="P1100" s="33"/>
      <c r="S1100" s="33"/>
      <c r="T1100" s="33"/>
    </row>
    <row r="1101" ht="15.75" customHeight="1">
      <c r="B1101" s="3"/>
      <c r="C1101" s="5"/>
      <c r="D1101" s="5"/>
      <c r="E1101" s="5"/>
      <c r="K1101" s="8"/>
      <c r="O1101" s="39"/>
      <c r="P1101" s="33"/>
      <c r="S1101" s="33"/>
      <c r="T1101" s="33"/>
    </row>
    <row r="1102" ht="15.75" customHeight="1">
      <c r="B1102" s="3"/>
      <c r="C1102" s="5"/>
      <c r="D1102" s="5"/>
      <c r="E1102" s="5"/>
      <c r="K1102" s="8"/>
      <c r="O1102" s="39"/>
      <c r="P1102" s="33"/>
      <c r="S1102" s="33"/>
      <c r="T1102" s="33"/>
    </row>
    <row r="1103" ht="15.75" customHeight="1">
      <c r="B1103" s="3"/>
      <c r="C1103" s="5"/>
      <c r="D1103" s="5"/>
      <c r="E1103" s="5"/>
      <c r="K1103" s="8"/>
      <c r="O1103" s="39"/>
      <c r="P1103" s="33"/>
      <c r="S1103" s="33"/>
      <c r="T1103" s="33"/>
    </row>
    <row r="1104" ht="15.75" customHeight="1">
      <c r="B1104" s="3"/>
      <c r="C1104" s="5"/>
      <c r="D1104" s="5"/>
      <c r="E1104" s="5"/>
      <c r="K1104" s="8"/>
      <c r="O1104" s="39"/>
      <c r="P1104" s="33"/>
      <c r="S1104" s="33"/>
      <c r="T1104" s="33"/>
    </row>
    <row r="1105" ht="15.75" customHeight="1">
      <c r="B1105" s="3"/>
      <c r="C1105" s="5"/>
      <c r="D1105" s="5"/>
      <c r="E1105" s="5"/>
      <c r="K1105" s="8"/>
      <c r="O1105" s="39"/>
      <c r="P1105" s="33"/>
      <c r="S1105" s="33"/>
      <c r="T1105" s="33"/>
    </row>
    <row r="1106" ht="15.75" customHeight="1">
      <c r="B1106" s="3"/>
      <c r="C1106" s="5"/>
      <c r="D1106" s="5"/>
      <c r="E1106" s="5"/>
      <c r="K1106" s="8"/>
      <c r="O1106" s="39"/>
      <c r="P1106" s="33"/>
      <c r="S1106" s="33"/>
      <c r="T1106" s="33"/>
    </row>
    <row r="1107" ht="15.75" customHeight="1">
      <c r="B1107" s="3"/>
      <c r="C1107" s="5"/>
      <c r="D1107" s="5"/>
      <c r="E1107" s="5"/>
      <c r="K1107" s="8"/>
      <c r="O1107" s="39"/>
      <c r="P1107" s="33"/>
      <c r="S1107" s="33"/>
      <c r="T1107" s="33"/>
    </row>
    <row r="1108" ht="15.75" customHeight="1">
      <c r="B1108" s="3"/>
      <c r="C1108" s="5"/>
      <c r="D1108" s="5"/>
      <c r="E1108" s="5"/>
      <c r="K1108" s="8"/>
      <c r="O1108" s="39"/>
      <c r="P1108" s="33"/>
      <c r="S1108" s="33"/>
      <c r="T1108" s="33"/>
    </row>
    <row r="1109" ht="15.75" customHeight="1">
      <c r="B1109" s="3"/>
      <c r="C1109" s="5"/>
      <c r="D1109" s="5"/>
      <c r="E1109" s="5"/>
      <c r="K1109" s="8"/>
      <c r="O1109" s="39"/>
      <c r="P1109" s="33"/>
      <c r="S1109" s="33"/>
      <c r="T1109" s="33"/>
    </row>
    <row r="1110" ht="15.75" customHeight="1">
      <c r="B1110" s="3"/>
      <c r="C1110" s="5"/>
      <c r="D1110" s="5"/>
      <c r="E1110" s="5"/>
      <c r="K1110" s="8"/>
      <c r="O1110" s="39"/>
      <c r="P1110" s="33"/>
      <c r="S1110" s="33"/>
      <c r="T1110" s="33"/>
    </row>
    <row r="1111" ht="15.75" customHeight="1">
      <c r="B1111" s="3"/>
      <c r="C1111" s="5"/>
      <c r="D1111" s="5"/>
      <c r="E1111" s="5"/>
      <c r="K1111" s="8"/>
      <c r="O1111" s="39"/>
      <c r="P1111" s="33"/>
      <c r="S1111" s="33"/>
      <c r="T1111" s="33"/>
    </row>
    <row r="1112" ht="15.75" customHeight="1">
      <c r="B1112" s="3"/>
      <c r="C1112" s="5"/>
      <c r="D1112" s="5"/>
      <c r="E1112" s="5"/>
      <c r="K1112" s="8"/>
      <c r="O1112" s="39"/>
      <c r="P1112" s="33"/>
      <c r="S1112" s="33"/>
      <c r="T1112" s="33"/>
    </row>
    <row r="1113" ht="15.75" customHeight="1">
      <c r="B1113" s="3"/>
      <c r="C1113" s="5"/>
      <c r="D1113" s="5"/>
      <c r="E1113" s="5"/>
      <c r="K1113" s="8"/>
      <c r="O1113" s="39"/>
      <c r="P1113" s="33"/>
      <c r="S1113" s="33"/>
      <c r="T1113" s="33"/>
    </row>
    <row r="1114" ht="15.75" customHeight="1">
      <c r="B1114" s="3"/>
      <c r="C1114" s="5"/>
      <c r="D1114" s="5"/>
      <c r="E1114" s="5"/>
      <c r="K1114" s="8"/>
      <c r="O1114" s="39"/>
      <c r="P1114" s="33"/>
      <c r="S1114" s="33"/>
      <c r="T1114" s="33"/>
    </row>
    <row r="1115" ht="15.75" customHeight="1">
      <c r="B1115" s="3"/>
      <c r="C1115" s="5"/>
      <c r="D1115" s="5"/>
      <c r="E1115" s="5"/>
      <c r="K1115" s="8"/>
      <c r="O1115" s="39"/>
      <c r="P1115" s="33"/>
      <c r="S1115" s="33"/>
      <c r="T1115" s="33"/>
    </row>
    <row r="1116" ht="15.75" customHeight="1">
      <c r="B1116" s="3"/>
      <c r="C1116" s="5"/>
      <c r="D1116" s="5"/>
      <c r="E1116" s="5"/>
      <c r="K1116" s="8"/>
      <c r="O1116" s="39"/>
      <c r="P1116" s="33"/>
      <c r="S1116" s="33"/>
      <c r="T1116" s="33"/>
    </row>
    <row r="1117" ht="15.75" customHeight="1">
      <c r="B1117" s="3"/>
      <c r="C1117" s="5"/>
      <c r="D1117" s="5"/>
      <c r="E1117" s="5"/>
      <c r="K1117" s="8"/>
      <c r="O1117" s="39"/>
      <c r="P1117" s="33"/>
      <c r="S1117" s="33"/>
      <c r="T1117" s="33"/>
    </row>
    <row r="1118" ht="15.75" customHeight="1">
      <c r="B1118" s="3"/>
      <c r="C1118" s="5"/>
      <c r="D1118" s="5"/>
      <c r="E1118" s="5"/>
      <c r="K1118" s="8"/>
      <c r="O1118" s="39"/>
      <c r="P1118" s="33"/>
      <c r="S1118" s="33"/>
      <c r="T1118" s="33"/>
    </row>
    <row r="1119" ht="15.75" customHeight="1">
      <c r="B1119" s="3"/>
      <c r="C1119" s="5"/>
      <c r="D1119" s="5"/>
      <c r="E1119" s="5"/>
      <c r="K1119" s="8"/>
      <c r="O1119" s="39"/>
      <c r="P1119" s="33"/>
      <c r="S1119" s="33"/>
      <c r="T1119" s="33"/>
    </row>
    <row r="1120" ht="15.75" customHeight="1">
      <c r="B1120" s="3"/>
      <c r="C1120" s="5"/>
      <c r="D1120" s="5"/>
      <c r="E1120" s="5"/>
      <c r="K1120" s="8"/>
      <c r="O1120" s="39"/>
      <c r="P1120" s="33"/>
      <c r="S1120" s="33"/>
      <c r="T1120" s="33"/>
    </row>
    <row r="1121" ht="15.75" customHeight="1">
      <c r="B1121" s="3"/>
      <c r="C1121" s="5"/>
      <c r="D1121" s="5"/>
      <c r="E1121" s="5"/>
      <c r="K1121" s="8"/>
      <c r="O1121" s="39"/>
      <c r="P1121" s="33"/>
      <c r="S1121" s="33"/>
      <c r="T1121" s="33"/>
    </row>
    <row r="1122" ht="15.75" customHeight="1">
      <c r="B1122" s="3"/>
      <c r="C1122" s="5"/>
      <c r="D1122" s="5"/>
      <c r="E1122" s="5"/>
      <c r="K1122" s="8"/>
      <c r="O1122" s="39"/>
      <c r="P1122" s="33"/>
      <c r="S1122" s="33"/>
      <c r="T1122" s="33"/>
    </row>
    <row r="1123" ht="15.75" customHeight="1">
      <c r="B1123" s="3"/>
      <c r="C1123" s="5"/>
      <c r="D1123" s="5"/>
      <c r="E1123" s="5"/>
      <c r="K1123" s="8"/>
      <c r="O1123" s="39"/>
      <c r="P1123" s="33"/>
      <c r="S1123" s="33"/>
      <c r="T1123" s="33"/>
    </row>
    <row r="1124" ht="15.75" customHeight="1">
      <c r="B1124" s="3"/>
      <c r="C1124" s="5"/>
      <c r="D1124" s="5"/>
      <c r="E1124" s="5"/>
      <c r="K1124" s="8"/>
      <c r="O1124" s="39"/>
      <c r="P1124" s="33"/>
      <c r="S1124" s="33"/>
      <c r="T1124" s="33"/>
    </row>
    <row r="1125" ht="15.75" customHeight="1">
      <c r="B1125" s="3"/>
      <c r="C1125" s="5"/>
      <c r="D1125" s="5"/>
      <c r="E1125" s="5"/>
      <c r="K1125" s="8"/>
      <c r="O1125" s="39"/>
      <c r="P1125" s="33"/>
      <c r="S1125" s="33"/>
      <c r="T1125" s="33"/>
    </row>
    <row r="1126" ht="15.75" customHeight="1">
      <c r="B1126" s="3"/>
      <c r="C1126" s="5"/>
      <c r="D1126" s="5"/>
      <c r="E1126" s="5"/>
      <c r="K1126" s="8"/>
      <c r="O1126" s="39"/>
      <c r="P1126" s="33"/>
      <c r="S1126" s="33"/>
      <c r="T1126" s="33"/>
    </row>
    <row r="1127" ht="15.75" customHeight="1">
      <c r="B1127" s="3"/>
      <c r="C1127" s="5"/>
      <c r="D1127" s="5"/>
      <c r="E1127" s="5"/>
      <c r="K1127" s="8"/>
      <c r="O1127" s="39"/>
      <c r="P1127" s="33"/>
      <c r="S1127" s="33"/>
      <c r="T1127" s="33"/>
    </row>
    <row r="1128" ht="15.75" customHeight="1">
      <c r="B1128" s="3"/>
      <c r="C1128" s="5"/>
      <c r="D1128" s="5"/>
      <c r="E1128" s="5"/>
      <c r="K1128" s="8"/>
      <c r="O1128" s="39"/>
      <c r="P1128" s="33"/>
      <c r="S1128" s="33"/>
      <c r="T1128" s="33"/>
    </row>
    <row r="1129" ht="15.75" customHeight="1">
      <c r="B1129" s="3"/>
      <c r="C1129" s="5"/>
      <c r="D1129" s="5"/>
      <c r="E1129" s="5"/>
      <c r="K1129" s="8"/>
      <c r="O1129" s="39"/>
      <c r="P1129" s="33"/>
      <c r="S1129" s="33"/>
      <c r="T1129" s="33"/>
    </row>
    <row r="1130" ht="15.75" customHeight="1">
      <c r="B1130" s="3"/>
      <c r="C1130" s="5"/>
      <c r="D1130" s="5"/>
      <c r="E1130" s="5"/>
      <c r="K1130" s="8"/>
      <c r="O1130" s="39"/>
      <c r="P1130" s="33"/>
      <c r="S1130" s="33"/>
      <c r="T1130" s="33"/>
    </row>
    <row r="1131" ht="15.75" customHeight="1">
      <c r="B1131" s="3"/>
      <c r="C1131" s="5"/>
      <c r="D1131" s="5"/>
      <c r="E1131" s="5"/>
      <c r="K1131" s="8"/>
      <c r="O1131" s="39"/>
      <c r="P1131" s="33"/>
      <c r="S1131" s="33"/>
      <c r="T1131" s="33"/>
    </row>
    <row r="1132" ht="15.75" customHeight="1">
      <c r="B1132" s="3"/>
      <c r="C1132" s="5"/>
      <c r="D1132" s="5"/>
      <c r="E1132" s="5"/>
      <c r="K1132" s="8"/>
      <c r="O1132" s="39"/>
      <c r="P1132" s="33"/>
      <c r="S1132" s="33"/>
      <c r="T1132" s="33"/>
    </row>
    <row r="1133" ht="15.75" customHeight="1">
      <c r="B1133" s="3"/>
      <c r="C1133" s="5"/>
      <c r="D1133" s="5"/>
      <c r="E1133" s="5"/>
      <c r="K1133" s="8"/>
      <c r="O1133" s="39"/>
      <c r="P1133" s="33"/>
      <c r="S1133" s="33"/>
      <c r="T1133" s="33"/>
    </row>
    <row r="1134" ht="15.75" customHeight="1">
      <c r="B1134" s="3"/>
      <c r="C1134" s="5"/>
      <c r="D1134" s="5"/>
      <c r="E1134" s="5"/>
      <c r="K1134" s="8"/>
      <c r="O1134" s="39"/>
      <c r="P1134" s="33"/>
      <c r="S1134" s="33"/>
      <c r="T1134" s="33"/>
    </row>
    <row r="1135" ht="15.75" customHeight="1">
      <c r="B1135" s="3"/>
      <c r="C1135" s="5"/>
      <c r="D1135" s="5"/>
      <c r="E1135" s="5"/>
      <c r="K1135" s="8"/>
      <c r="O1135" s="39"/>
      <c r="P1135" s="33"/>
      <c r="S1135" s="33"/>
      <c r="T1135" s="33"/>
    </row>
    <row r="1136" ht="15.75" customHeight="1">
      <c r="B1136" s="3"/>
      <c r="C1136" s="5"/>
      <c r="D1136" s="5"/>
      <c r="E1136" s="5"/>
      <c r="K1136" s="8"/>
      <c r="O1136" s="39"/>
      <c r="P1136" s="33"/>
      <c r="S1136" s="33"/>
      <c r="T1136" s="33"/>
    </row>
    <row r="1137" ht="15.75" customHeight="1">
      <c r="B1137" s="3"/>
      <c r="C1137" s="5"/>
      <c r="D1137" s="5"/>
      <c r="E1137" s="5"/>
      <c r="K1137" s="8"/>
      <c r="O1137" s="39"/>
      <c r="P1137" s="33"/>
      <c r="S1137" s="33"/>
      <c r="T1137" s="33"/>
    </row>
    <row r="1138" ht="15.75" customHeight="1">
      <c r="B1138" s="3"/>
      <c r="C1138" s="5"/>
      <c r="D1138" s="5"/>
      <c r="E1138" s="5"/>
      <c r="K1138" s="8"/>
      <c r="O1138" s="39"/>
      <c r="P1138" s="33"/>
      <c r="S1138" s="33"/>
      <c r="T1138" s="33"/>
    </row>
    <row r="1139" ht="15.75" customHeight="1">
      <c r="B1139" s="3"/>
      <c r="C1139" s="5"/>
      <c r="D1139" s="5"/>
      <c r="E1139" s="5"/>
      <c r="K1139" s="8"/>
      <c r="O1139" s="39"/>
      <c r="P1139" s="33"/>
      <c r="S1139" s="33"/>
      <c r="T1139" s="33"/>
    </row>
    <row r="1140" ht="15.75" customHeight="1">
      <c r="B1140" s="3"/>
      <c r="C1140" s="5"/>
      <c r="D1140" s="5"/>
      <c r="E1140" s="5"/>
      <c r="K1140" s="8"/>
      <c r="O1140" s="39"/>
      <c r="P1140" s="33"/>
      <c r="S1140" s="33"/>
      <c r="T1140" s="33"/>
    </row>
    <row r="1141" ht="15.75" customHeight="1">
      <c r="B1141" s="3"/>
      <c r="C1141" s="5"/>
      <c r="D1141" s="5"/>
      <c r="E1141" s="5"/>
      <c r="K1141" s="8"/>
      <c r="O1141" s="39"/>
      <c r="P1141" s="33"/>
      <c r="S1141" s="33"/>
      <c r="T1141" s="33"/>
    </row>
    <row r="1142" ht="15.75" customHeight="1">
      <c r="B1142" s="3"/>
      <c r="C1142" s="5"/>
      <c r="D1142" s="5"/>
      <c r="E1142" s="5"/>
      <c r="K1142" s="8"/>
      <c r="O1142" s="39"/>
      <c r="P1142" s="33"/>
      <c r="S1142" s="33"/>
      <c r="T1142" s="33"/>
    </row>
    <row r="1143" ht="15.75" customHeight="1">
      <c r="B1143" s="3"/>
      <c r="C1143" s="5"/>
      <c r="D1143" s="5"/>
      <c r="E1143" s="5"/>
      <c r="K1143" s="8"/>
      <c r="O1143" s="39"/>
      <c r="P1143" s="33"/>
      <c r="S1143" s="33"/>
      <c r="T1143" s="33"/>
    </row>
    <row r="1144" ht="15.75" customHeight="1">
      <c r="B1144" s="3"/>
      <c r="C1144" s="5"/>
      <c r="D1144" s="5"/>
      <c r="E1144" s="5"/>
      <c r="K1144" s="8"/>
      <c r="O1144" s="39"/>
      <c r="P1144" s="33"/>
      <c r="S1144" s="33"/>
      <c r="T1144" s="33"/>
    </row>
    <row r="1145" ht="15.75" customHeight="1">
      <c r="B1145" s="3"/>
      <c r="C1145" s="5"/>
      <c r="D1145" s="5"/>
      <c r="E1145" s="5"/>
      <c r="K1145" s="8"/>
      <c r="O1145" s="39"/>
      <c r="P1145" s="33"/>
      <c r="S1145" s="33"/>
      <c r="T1145" s="33"/>
    </row>
    <row r="1146" ht="15.75" customHeight="1">
      <c r="B1146" s="3"/>
      <c r="C1146" s="5"/>
      <c r="D1146" s="5"/>
      <c r="E1146" s="5"/>
      <c r="K1146" s="8"/>
      <c r="O1146" s="39"/>
      <c r="P1146" s="33"/>
      <c r="S1146" s="33"/>
      <c r="T1146" s="33"/>
    </row>
    <row r="1147" ht="15.75" customHeight="1">
      <c r="B1147" s="3"/>
      <c r="C1147" s="5"/>
      <c r="D1147" s="5"/>
      <c r="E1147" s="5"/>
      <c r="K1147" s="8"/>
      <c r="O1147" s="39"/>
      <c r="P1147" s="33"/>
      <c r="S1147" s="33"/>
      <c r="T1147" s="33"/>
    </row>
    <row r="1148" ht="15.75" customHeight="1">
      <c r="B1148" s="3"/>
      <c r="C1148" s="5"/>
      <c r="D1148" s="5"/>
      <c r="E1148" s="5"/>
      <c r="K1148" s="8"/>
      <c r="O1148" s="39"/>
      <c r="P1148" s="33"/>
      <c r="S1148" s="33"/>
      <c r="T1148" s="33"/>
    </row>
    <row r="1149" ht="15.75" customHeight="1">
      <c r="B1149" s="3"/>
      <c r="C1149" s="5"/>
      <c r="D1149" s="5"/>
      <c r="E1149" s="5"/>
      <c r="K1149" s="8"/>
      <c r="O1149" s="39"/>
      <c r="P1149" s="33"/>
      <c r="S1149" s="33"/>
      <c r="T1149" s="33"/>
    </row>
    <row r="1150" ht="15.75" customHeight="1">
      <c r="B1150" s="3"/>
      <c r="C1150" s="5"/>
      <c r="D1150" s="5"/>
      <c r="E1150" s="5"/>
      <c r="K1150" s="8"/>
      <c r="O1150" s="39"/>
      <c r="P1150" s="33"/>
      <c r="S1150" s="33"/>
      <c r="T1150" s="33"/>
    </row>
    <row r="1151" ht="15.75" customHeight="1">
      <c r="B1151" s="3"/>
      <c r="C1151" s="5"/>
      <c r="D1151" s="5"/>
      <c r="E1151" s="5"/>
      <c r="K1151" s="8"/>
      <c r="O1151" s="39"/>
      <c r="P1151" s="33"/>
      <c r="S1151" s="33"/>
      <c r="T1151" s="33"/>
    </row>
    <row r="1152" ht="15.75" customHeight="1">
      <c r="B1152" s="3"/>
      <c r="C1152" s="5"/>
      <c r="D1152" s="5"/>
      <c r="E1152" s="5"/>
      <c r="K1152" s="8"/>
      <c r="O1152" s="39"/>
      <c r="P1152" s="33"/>
      <c r="S1152" s="33"/>
      <c r="T1152" s="33"/>
    </row>
    <row r="1153" ht="15.75" customHeight="1">
      <c r="B1153" s="3"/>
      <c r="C1153" s="5"/>
      <c r="D1153" s="5"/>
      <c r="E1153" s="5"/>
      <c r="K1153" s="8"/>
      <c r="O1153" s="39"/>
      <c r="P1153" s="33"/>
      <c r="S1153" s="33"/>
      <c r="T1153" s="33"/>
    </row>
    <row r="1154" ht="15.75" customHeight="1">
      <c r="B1154" s="3"/>
      <c r="C1154" s="5"/>
      <c r="D1154" s="5"/>
      <c r="E1154" s="5"/>
      <c r="K1154" s="8"/>
      <c r="O1154" s="39"/>
      <c r="P1154" s="33"/>
      <c r="S1154" s="33"/>
      <c r="T1154" s="33"/>
    </row>
    <row r="1155" ht="15.75" customHeight="1">
      <c r="B1155" s="3"/>
      <c r="C1155" s="5"/>
      <c r="D1155" s="5"/>
      <c r="E1155" s="5"/>
      <c r="K1155" s="8"/>
      <c r="O1155" s="39"/>
      <c r="P1155" s="33"/>
      <c r="S1155" s="33"/>
      <c r="T1155" s="33"/>
    </row>
    <row r="1156" ht="15.75" customHeight="1">
      <c r="B1156" s="3"/>
      <c r="C1156" s="5"/>
      <c r="D1156" s="5"/>
      <c r="E1156" s="5"/>
      <c r="K1156" s="8"/>
      <c r="O1156" s="39"/>
      <c r="P1156" s="33"/>
      <c r="S1156" s="33"/>
      <c r="T1156" s="33"/>
    </row>
    <row r="1157" ht="15.75" customHeight="1">
      <c r="B1157" s="3"/>
      <c r="C1157" s="5"/>
      <c r="D1157" s="5"/>
      <c r="E1157" s="5"/>
      <c r="K1157" s="8"/>
      <c r="O1157" s="39"/>
      <c r="P1157" s="33"/>
      <c r="S1157" s="33"/>
      <c r="T1157" s="33"/>
    </row>
    <row r="1158" ht="15.75" customHeight="1">
      <c r="B1158" s="3"/>
      <c r="C1158" s="5"/>
      <c r="D1158" s="5"/>
      <c r="E1158" s="5"/>
      <c r="K1158" s="8"/>
      <c r="O1158" s="39"/>
      <c r="P1158" s="33"/>
      <c r="S1158" s="33"/>
      <c r="T1158" s="33"/>
    </row>
    <row r="1159" ht="15.75" customHeight="1">
      <c r="B1159" s="3"/>
      <c r="C1159" s="5"/>
      <c r="D1159" s="5"/>
      <c r="E1159" s="5"/>
      <c r="K1159" s="8"/>
      <c r="O1159" s="39"/>
      <c r="P1159" s="33"/>
      <c r="S1159" s="33"/>
      <c r="T1159" s="33"/>
    </row>
    <row r="1160" ht="15.75" customHeight="1">
      <c r="B1160" s="3"/>
      <c r="C1160" s="5"/>
      <c r="D1160" s="5"/>
      <c r="E1160" s="5"/>
      <c r="K1160" s="8"/>
      <c r="O1160" s="39"/>
      <c r="P1160" s="33"/>
      <c r="S1160" s="33"/>
      <c r="T1160" s="33"/>
    </row>
    <row r="1161" ht="15.75" customHeight="1">
      <c r="B1161" s="3"/>
      <c r="C1161" s="5"/>
      <c r="D1161" s="5"/>
      <c r="E1161" s="5"/>
      <c r="K1161" s="8"/>
      <c r="O1161" s="39"/>
      <c r="P1161" s="33"/>
      <c r="S1161" s="33"/>
      <c r="T1161" s="33"/>
    </row>
    <row r="1162" ht="15.75" customHeight="1">
      <c r="B1162" s="3"/>
      <c r="C1162" s="5"/>
      <c r="D1162" s="5"/>
      <c r="E1162" s="5"/>
      <c r="K1162" s="8"/>
      <c r="O1162" s="39"/>
      <c r="P1162" s="33"/>
      <c r="S1162" s="33"/>
      <c r="T1162" s="33"/>
    </row>
    <row r="1163" ht="15.75" customHeight="1">
      <c r="B1163" s="3"/>
      <c r="C1163" s="5"/>
      <c r="D1163" s="5"/>
      <c r="E1163" s="5"/>
      <c r="K1163" s="8"/>
      <c r="O1163" s="39"/>
      <c r="P1163" s="33"/>
      <c r="S1163" s="33"/>
      <c r="T1163" s="33"/>
    </row>
    <row r="1164" ht="15.75" customHeight="1">
      <c r="B1164" s="3"/>
      <c r="C1164" s="5"/>
      <c r="D1164" s="5"/>
      <c r="E1164" s="5"/>
      <c r="K1164" s="8"/>
      <c r="O1164" s="39"/>
      <c r="P1164" s="33"/>
      <c r="S1164" s="33"/>
      <c r="T1164" s="33"/>
    </row>
    <row r="1165" ht="15.75" customHeight="1">
      <c r="B1165" s="3"/>
      <c r="C1165" s="5"/>
      <c r="D1165" s="5"/>
      <c r="E1165" s="5"/>
      <c r="K1165" s="8"/>
      <c r="O1165" s="39"/>
      <c r="P1165" s="33"/>
      <c r="S1165" s="33"/>
      <c r="T1165" s="33"/>
    </row>
    <row r="1166" ht="15.75" customHeight="1">
      <c r="B1166" s="3"/>
      <c r="C1166" s="5"/>
      <c r="D1166" s="5"/>
      <c r="E1166" s="5"/>
      <c r="K1166" s="8"/>
      <c r="O1166" s="39"/>
      <c r="P1166" s="33"/>
      <c r="S1166" s="33"/>
      <c r="T1166" s="33"/>
    </row>
    <row r="1167" ht="15.75" customHeight="1">
      <c r="B1167" s="3"/>
      <c r="C1167" s="5"/>
      <c r="D1167" s="5"/>
      <c r="E1167" s="5"/>
      <c r="K1167" s="8"/>
      <c r="O1167" s="39"/>
      <c r="P1167" s="33"/>
      <c r="S1167" s="33"/>
      <c r="T1167" s="33"/>
    </row>
    <row r="1168" ht="15.75" customHeight="1">
      <c r="B1168" s="3"/>
      <c r="C1168" s="5"/>
      <c r="D1168" s="5"/>
      <c r="E1168" s="5"/>
      <c r="K1168" s="8"/>
      <c r="O1168" s="39"/>
      <c r="P1168" s="33"/>
      <c r="S1168" s="33"/>
      <c r="T1168" s="33"/>
    </row>
    <row r="1169" ht="15.75" customHeight="1">
      <c r="B1169" s="3"/>
      <c r="C1169" s="5"/>
      <c r="D1169" s="5"/>
      <c r="E1169" s="5"/>
      <c r="K1169" s="8"/>
      <c r="O1169" s="39"/>
      <c r="P1169" s="33"/>
      <c r="S1169" s="33"/>
      <c r="T1169" s="33"/>
    </row>
    <row r="1170" ht="15.75" customHeight="1">
      <c r="B1170" s="3"/>
      <c r="C1170" s="5"/>
      <c r="D1170" s="5"/>
      <c r="E1170" s="5"/>
      <c r="K1170" s="8"/>
      <c r="O1170" s="39"/>
      <c r="P1170" s="33"/>
      <c r="S1170" s="33"/>
      <c r="T1170" s="33"/>
    </row>
    <row r="1171" ht="15.75" customHeight="1">
      <c r="B1171" s="3"/>
      <c r="C1171" s="5"/>
      <c r="D1171" s="5"/>
      <c r="E1171" s="5"/>
      <c r="K1171" s="8"/>
      <c r="O1171" s="39"/>
      <c r="P1171" s="33"/>
      <c r="S1171" s="33"/>
      <c r="T1171" s="33"/>
    </row>
    <row r="1172" ht="15.75" customHeight="1">
      <c r="B1172" s="3"/>
      <c r="C1172" s="5"/>
      <c r="D1172" s="5"/>
      <c r="E1172" s="5"/>
      <c r="K1172" s="8"/>
      <c r="O1172" s="39"/>
      <c r="P1172" s="33"/>
      <c r="S1172" s="33"/>
      <c r="T1172" s="33"/>
    </row>
    <row r="1173" ht="15.75" customHeight="1">
      <c r="B1173" s="3"/>
      <c r="C1173" s="5"/>
      <c r="D1173" s="5"/>
      <c r="E1173" s="5"/>
      <c r="K1173" s="8"/>
      <c r="O1173" s="39"/>
      <c r="P1173" s="33"/>
      <c r="S1173" s="33"/>
      <c r="T1173" s="33"/>
    </row>
    <row r="1174" ht="15.75" customHeight="1">
      <c r="B1174" s="3"/>
      <c r="C1174" s="5"/>
      <c r="D1174" s="5"/>
      <c r="E1174" s="5"/>
      <c r="K1174" s="8"/>
      <c r="O1174" s="39"/>
      <c r="P1174" s="33"/>
      <c r="S1174" s="33"/>
      <c r="T1174" s="33"/>
    </row>
    <row r="1175" ht="15.75" customHeight="1">
      <c r="B1175" s="3"/>
      <c r="C1175" s="5"/>
      <c r="D1175" s="5"/>
      <c r="E1175" s="5"/>
      <c r="K1175" s="8"/>
      <c r="O1175" s="39"/>
      <c r="P1175" s="33"/>
      <c r="S1175" s="33"/>
      <c r="T1175" s="33"/>
    </row>
    <row r="1176" ht="15.75" customHeight="1">
      <c r="B1176" s="3"/>
      <c r="C1176" s="5"/>
      <c r="D1176" s="5"/>
      <c r="E1176" s="5"/>
      <c r="K1176" s="8"/>
      <c r="O1176" s="39"/>
      <c r="P1176" s="33"/>
      <c r="S1176" s="33"/>
      <c r="T1176" s="33"/>
    </row>
    <row r="1177" ht="15.75" customHeight="1">
      <c r="B1177" s="3"/>
      <c r="C1177" s="5"/>
      <c r="D1177" s="5"/>
      <c r="E1177" s="5"/>
      <c r="K1177" s="8"/>
      <c r="O1177" s="39"/>
      <c r="P1177" s="33"/>
      <c r="S1177" s="33"/>
      <c r="T1177" s="33"/>
    </row>
    <row r="1178" ht="15.75" customHeight="1">
      <c r="B1178" s="3"/>
      <c r="C1178" s="5"/>
      <c r="D1178" s="5"/>
      <c r="E1178" s="5"/>
      <c r="K1178" s="8"/>
      <c r="O1178" s="39"/>
      <c r="P1178" s="33"/>
      <c r="S1178" s="33"/>
      <c r="T1178" s="33"/>
    </row>
    <row r="1179" ht="15.75" customHeight="1">
      <c r="B1179" s="3"/>
      <c r="C1179" s="5"/>
      <c r="D1179" s="5"/>
      <c r="E1179" s="5"/>
      <c r="K1179" s="8"/>
      <c r="O1179" s="39"/>
      <c r="P1179" s="33"/>
      <c r="S1179" s="33"/>
      <c r="T1179" s="33"/>
    </row>
    <row r="1180" ht="15.75" customHeight="1">
      <c r="B1180" s="3"/>
      <c r="C1180" s="5"/>
      <c r="D1180" s="5"/>
      <c r="E1180" s="5"/>
      <c r="K1180" s="8"/>
      <c r="O1180" s="39"/>
      <c r="P1180" s="33"/>
      <c r="S1180" s="33"/>
      <c r="T1180" s="33"/>
    </row>
    <row r="1181" ht="15.75" customHeight="1">
      <c r="B1181" s="3"/>
      <c r="C1181" s="5"/>
      <c r="D1181" s="5"/>
      <c r="E1181" s="5"/>
      <c r="K1181" s="8"/>
      <c r="O1181" s="39"/>
      <c r="P1181" s="33"/>
      <c r="S1181" s="33"/>
      <c r="T1181" s="33"/>
    </row>
    <row r="1182" ht="15.75" customHeight="1">
      <c r="B1182" s="3"/>
      <c r="C1182" s="5"/>
      <c r="D1182" s="5"/>
      <c r="E1182" s="5"/>
      <c r="K1182" s="8"/>
      <c r="O1182" s="39"/>
      <c r="P1182" s="33"/>
      <c r="S1182" s="33"/>
      <c r="T1182" s="33"/>
    </row>
    <row r="1183" ht="15.75" customHeight="1">
      <c r="B1183" s="3"/>
      <c r="C1183" s="5"/>
      <c r="D1183" s="5"/>
      <c r="E1183" s="5"/>
      <c r="K1183" s="8"/>
      <c r="O1183" s="39"/>
      <c r="P1183" s="33"/>
      <c r="S1183" s="33"/>
      <c r="T1183" s="33"/>
    </row>
    <row r="1184" ht="15.75" customHeight="1">
      <c r="B1184" s="3"/>
      <c r="C1184" s="5"/>
      <c r="D1184" s="5"/>
      <c r="E1184" s="5"/>
      <c r="K1184" s="8"/>
      <c r="O1184" s="39"/>
      <c r="P1184" s="33"/>
      <c r="S1184" s="33"/>
      <c r="T1184" s="33"/>
    </row>
    <row r="1185" ht="15.75" customHeight="1">
      <c r="B1185" s="3"/>
      <c r="C1185" s="5"/>
      <c r="D1185" s="5"/>
      <c r="E1185" s="5"/>
      <c r="K1185" s="8"/>
      <c r="O1185" s="39"/>
      <c r="P1185" s="33"/>
      <c r="S1185" s="33"/>
      <c r="T1185" s="33"/>
    </row>
    <row r="1186" ht="15.75" customHeight="1">
      <c r="B1186" s="3"/>
      <c r="C1186" s="5"/>
      <c r="D1186" s="5"/>
      <c r="E1186" s="5"/>
      <c r="K1186" s="8"/>
      <c r="O1186" s="39"/>
      <c r="P1186" s="33"/>
      <c r="S1186" s="33"/>
      <c r="T1186" s="33"/>
    </row>
    <row r="1187" ht="15.75" customHeight="1">
      <c r="B1187" s="3"/>
      <c r="C1187" s="5"/>
      <c r="D1187" s="5"/>
      <c r="E1187" s="5"/>
      <c r="K1187" s="8"/>
      <c r="O1187" s="39"/>
      <c r="P1187" s="33"/>
      <c r="S1187" s="33"/>
      <c r="T1187" s="33"/>
    </row>
    <row r="1188" ht="15.75" customHeight="1">
      <c r="B1188" s="3"/>
      <c r="C1188" s="5"/>
      <c r="D1188" s="5"/>
      <c r="E1188" s="5"/>
      <c r="K1188" s="8"/>
      <c r="O1188" s="39"/>
      <c r="P1188" s="33"/>
      <c r="S1188" s="33"/>
      <c r="T1188" s="33"/>
    </row>
    <row r="1189" ht="15.75" customHeight="1">
      <c r="B1189" s="3"/>
      <c r="C1189" s="5"/>
      <c r="D1189" s="5"/>
      <c r="E1189" s="5"/>
      <c r="K1189" s="8"/>
      <c r="O1189" s="39"/>
      <c r="P1189" s="33"/>
      <c r="S1189" s="33"/>
      <c r="T1189" s="33"/>
    </row>
    <row r="1190" ht="15.75" customHeight="1">
      <c r="B1190" s="3"/>
      <c r="C1190" s="5"/>
      <c r="D1190" s="5"/>
      <c r="E1190" s="5"/>
      <c r="K1190" s="8"/>
      <c r="O1190" s="39"/>
      <c r="P1190" s="33"/>
      <c r="S1190" s="33"/>
      <c r="T1190" s="33"/>
    </row>
    <row r="1191" ht="15.75" customHeight="1">
      <c r="B1191" s="3"/>
      <c r="C1191" s="5"/>
      <c r="D1191" s="5"/>
      <c r="E1191" s="5"/>
      <c r="K1191" s="8"/>
      <c r="O1191" s="39"/>
      <c r="P1191" s="33"/>
      <c r="S1191" s="33"/>
      <c r="T1191" s="33"/>
    </row>
    <row r="1192" ht="15.75" customHeight="1">
      <c r="B1192" s="3"/>
      <c r="C1192" s="5"/>
      <c r="D1192" s="5"/>
      <c r="E1192" s="5"/>
      <c r="K1192" s="8"/>
      <c r="O1192" s="39"/>
      <c r="P1192" s="33"/>
      <c r="S1192" s="33"/>
      <c r="T1192" s="33"/>
    </row>
    <row r="1193" ht="15.75" customHeight="1">
      <c r="B1193" s="3"/>
      <c r="C1193" s="5"/>
      <c r="D1193" s="5"/>
      <c r="E1193" s="5"/>
      <c r="K1193" s="8"/>
      <c r="O1193" s="39"/>
      <c r="P1193" s="33"/>
      <c r="S1193" s="33"/>
      <c r="T1193" s="33"/>
    </row>
    <row r="1194" ht="15.75" customHeight="1">
      <c r="B1194" s="3"/>
      <c r="C1194" s="5"/>
      <c r="D1194" s="5"/>
      <c r="E1194" s="5"/>
      <c r="K1194" s="8"/>
      <c r="O1194" s="39"/>
      <c r="P1194" s="33"/>
      <c r="S1194" s="33"/>
      <c r="T1194" s="33"/>
    </row>
    <row r="1195" ht="15.75" customHeight="1">
      <c r="B1195" s="3"/>
      <c r="C1195" s="5"/>
      <c r="D1195" s="5"/>
      <c r="E1195" s="5"/>
      <c r="K1195" s="8"/>
      <c r="O1195" s="39"/>
      <c r="P1195" s="33"/>
      <c r="S1195" s="33"/>
      <c r="T1195" s="33"/>
    </row>
    <row r="1196" ht="15.75" customHeight="1">
      <c r="B1196" s="3"/>
      <c r="C1196" s="5"/>
      <c r="D1196" s="5"/>
      <c r="E1196" s="5"/>
      <c r="K1196" s="8"/>
      <c r="O1196" s="39"/>
      <c r="P1196" s="33"/>
      <c r="S1196" s="33"/>
      <c r="T1196" s="33"/>
    </row>
    <row r="1197" ht="15.75" customHeight="1">
      <c r="B1197" s="3"/>
      <c r="C1197" s="5"/>
      <c r="D1197" s="5"/>
      <c r="E1197" s="5"/>
      <c r="K1197" s="8"/>
      <c r="O1197" s="39"/>
      <c r="P1197" s="33"/>
      <c r="S1197" s="33"/>
      <c r="T1197" s="33"/>
    </row>
    <row r="1198" ht="15.75" customHeight="1">
      <c r="B1198" s="3"/>
      <c r="C1198" s="5"/>
      <c r="D1198" s="5"/>
      <c r="E1198" s="5"/>
      <c r="K1198" s="8"/>
      <c r="O1198" s="39"/>
      <c r="P1198" s="33"/>
      <c r="S1198" s="33"/>
      <c r="T1198" s="33"/>
    </row>
    <row r="1199" ht="15.75" customHeight="1">
      <c r="B1199" s="3"/>
      <c r="C1199" s="5"/>
      <c r="D1199" s="5"/>
      <c r="E1199" s="5"/>
      <c r="K1199" s="8"/>
      <c r="O1199" s="39"/>
      <c r="P1199" s="33"/>
      <c r="S1199" s="33"/>
      <c r="T1199" s="33"/>
    </row>
    <row r="1200" ht="15.75" customHeight="1">
      <c r="B1200" s="3"/>
      <c r="C1200" s="5"/>
      <c r="D1200" s="5"/>
      <c r="E1200" s="5"/>
      <c r="K1200" s="8"/>
      <c r="O1200" s="39"/>
      <c r="P1200" s="33"/>
      <c r="S1200" s="33"/>
      <c r="T1200" s="33"/>
    </row>
    <row r="1201" ht="15.75" customHeight="1">
      <c r="B1201" s="3"/>
      <c r="C1201" s="5"/>
      <c r="D1201" s="5"/>
      <c r="E1201" s="5"/>
      <c r="K1201" s="8"/>
      <c r="O1201" s="39"/>
      <c r="P1201" s="33"/>
      <c r="S1201" s="33"/>
      <c r="T1201" s="33"/>
    </row>
    <row r="1202" ht="15.75" customHeight="1">
      <c r="B1202" s="3"/>
      <c r="C1202" s="5"/>
      <c r="D1202" s="5"/>
      <c r="E1202" s="5"/>
      <c r="K1202" s="8"/>
      <c r="O1202" s="39"/>
      <c r="P1202" s="33"/>
      <c r="S1202" s="33"/>
      <c r="T1202" s="33"/>
    </row>
    <row r="1203" ht="15.75" customHeight="1">
      <c r="B1203" s="3"/>
      <c r="C1203" s="5"/>
      <c r="D1203" s="5"/>
      <c r="E1203" s="5"/>
      <c r="K1203" s="8"/>
      <c r="O1203" s="39"/>
      <c r="P1203" s="33"/>
      <c r="S1203" s="33"/>
      <c r="T1203" s="33"/>
    </row>
    <row r="1204" ht="15.75" customHeight="1">
      <c r="B1204" s="3"/>
      <c r="C1204" s="5"/>
      <c r="D1204" s="5"/>
      <c r="E1204" s="5"/>
      <c r="K1204" s="8"/>
      <c r="O1204" s="39"/>
      <c r="P1204" s="33"/>
      <c r="S1204" s="33"/>
      <c r="T1204" s="33"/>
    </row>
    <row r="1205" ht="15.75" customHeight="1">
      <c r="B1205" s="3"/>
      <c r="C1205" s="5"/>
      <c r="D1205" s="5"/>
      <c r="E1205" s="5"/>
      <c r="K1205" s="8"/>
      <c r="O1205" s="39"/>
      <c r="P1205" s="33"/>
      <c r="S1205" s="33"/>
      <c r="T1205" s="33"/>
    </row>
    <row r="1206" ht="15.75" customHeight="1">
      <c r="B1206" s="3"/>
      <c r="C1206" s="5"/>
      <c r="D1206" s="5"/>
      <c r="E1206" s="5"/>
      <c r="K1206" s="8"/>
      <c r="O1206" s="39"/>
      <c r="P1206" s="33"/>
      <c r="S1206" s="33"/>
      <c r="T1206" s="33"/>
    </row>
    <row r="1207" ht="15.75" customHeight="1">
      <c r="B1207" s="3"/>
      <c r="C1207" s="5"/>
      <c r="D1207" s="5"/>
      <c r="E1207" s="5"/>
      <c r="K1207" s="8"/>
      <c r="O1207" s="39"/>
      <c r="P1207" s="33"/>
      <c r="S1207" s="33"/>
      <c r="T1207" s="33"/>
    </row>
    <row r="1208" ht="15.75" customHeight="1">
      <c r="B1208" s="3"/>
      <c r="C1208" s="5"/>
      <c r="D1208" s="5"/>
      <c r="E1208" s="5"/>
      <c r="K1208" s="8"/>
      <c r="O1208" s="39"/>
      <c r="P1208" s="33"/>
      <c r="S1208" s="33"/>
      <c r="T1208" s="33"/>
    </row>
    <row r="1209" ht="15.75" customHeight="1">
      <c r="B1209" s="3"/>
      <c r="C1209" s="5"/>
      <c r="D1209" s="5"/>
      <c r="E1209" s="5"/>
      <c r="K1209" s="8"/>
      <c r="O1209" s="39"/>
      <c r="P1209" s="33"/>
      <c r="S1209" s="33"/>
      <c r="T1209" s="33"/>
    </row>
    <row r="1210" ht="15.75" customHeight="1">
      <c r="B1210" s="3"/>
      <c r="C1210" s="5"/>
      <c r="D1210" s="5"/>
      <c r="E1210" s="5"/>
      <c r="K1210" s="8"/>
      <c r="O1210" s="39"/>
      <c r="P1210" s="33"/>
      <c r="S1210" s="33"/>
      <c r="T1210" s="33"/>
    </row>
    <row r="1211" ht="15.75" customHeight="1">
      <c r="B1211" s="3"/>
      <c r="C1211" s="5"/>
      <c r="D1211" s="5"/>
      <c r="E1211" s="5"/>
      <c r="K1211" s="8"/>
      <c r="O1211" s="39"/>
      <c r="P1211" s="33"/>
      <c r="S1211" s="33"/>
      <c r="T1211" s="33"/>
    </row>
    <row r="1212" ht="15.75" customHeight="1">
      <c r="B1212" s="3"/>
      <c r="C1212" s="5"/>
      <c r="D1212" s="5"/>
      <c r="E1212" s="5"/>
      <c r="K1212" s="8"/>
      <c r="O1212" s="39"/>
      <c r="P1212" s="33"/>
      <c r="S1212" s="33"/>
      <c r="T1212" s="33"/>
    </row>
    <row r="1213" ht="15.75" customHeight="1">
      <c r="B1213" s="3"/>
      <c r="C1213" s="5"/>
      <c r="D1213" s="5"/>
      <c r="E1213" s="5"/>
      <c r="K1213" s="8"/>
      <c r="O1213" s="39"/>
      <c r="P1213" s="33"/>
      <c r="S1213" s="33"/>
      <c r="T1213" s="33"/>
    </row>
    <row r="1214" ht="15.75" customHeight="1">
      <c r="B1214" s="3"/>
      <c r="C1214" s="5"/>
      <c r="D1214" s="5"/>
      <c r="E1214" s="5"/>
      <c r="K1214" s="8"/>
      <c r="O1214" s="39"/>
      <c r="P1214" s="33"/>
      <c r="S1214" s="33"/>
      <c r="T1214" s="33"/>
    </row>
    <row r="1215" ht="15.75" customHeight="1">
      <c r="B1215" s="3"/>
      <c r="C1215" s="5"/>
      <c r="D1215" s="5"/>
      <c r="E1215" s="5"/>
      <c r="K1215" s="8"/>
      <c r="O1215" s="39"/>
      <c r="P1215" s="33"/>
      <c r="S1215" s="33"/>
      <c r="T1215" s="33"/>
    </row>
    <row r="1216" ht="15.75" customHeight="1">
      <c r="B1216" s="3"/>
      <c r="C1216" s="5"/>
      <c r="D1216" s="5"/>
      <c r="E1216" s="5"/>
      <c r="K1216" s="8"/>
      <c r="O1216" s="39"/>
      <c r="P1216" s="33"/>
      <c r="S1216" s="33"/>
      <c r="T1216" s="33"/>
    </row>
    <row r="1217" ht="15.75" customHeight="1">
      <c r="B1217" s="3"/>
      <c r="C1217" s="5"/>
      <c r="D1217" s="5"/>
      <c r="E1217" s="5"/>
      <c r="K1217" s="8"/>
      <c r="O1217" s="39"/>
      <c r="P1217" s="33"/>
      <c r="S1217" s="33"/>
      <c r="T1217" s="33"/>
    </row>
    <row r="1218" ht="15.75" customHeight="1">
      <c r="B1218" s="3"/>
      <c r="C1218" s="5"/>
      <c r="D1218" s="5"/>
      <c r="E1218" s="5"/>
      <c r="K1218" s="8"/>
      <c r="O1218" s="39"/>
      <c r="P1218" s="33"/>
      <c r="S1218" s="33"/>
      <c r="T1218" s="33"/>
    </row>
    <row r="1219" ht="15.75" customHeight="1">
      <c r="B1219" s="3"/>
      <c r="C1219" s="5"/>
      <c r="D1219" s="5"/>
      <c r="E1219" s="5"/>
      <c r="K1219" s="8"/>
      <c r="O1219" s="39"/>
      <c r="P1219" s="33"/>
      <c r="S1219" s="33"/>
      <c r="T1219" s="33"/>
    </row>
    <row r="1220" ht="15.75" customHeight="1">
      <c r="B1220" s="3"/>
      <c r="C1220" s="5"/>
      <c r="D1220" s="5"/>
      <c r="E1220" s="5"/>
      <c r="K1220" s="8"/>
      <c r="O1220" s="39"/>
      <c r="P1220" s="33"/>
      <c r="S1220" s="33"/>
      <c r="T1220" s="33"/>
    </row>
    <row r="1221" ht="15.75" customHeight="1">
      <c r="B1221" s="3"/>
      <c r="C1221" s="5"/>
      <c r="D1221" s="5"/>
      <c r="E1221" s="5"/>
      <c r="K1221" s="8"/>
      <c r="O1221" s="39"/>
      <c r="P1221" s="33"/>
      <c r="S1221" s="33"/>
      <c r="T1221" s="33"/>
    </row>
    <row r="1222" ht="15.75" customHeight="1">
      <c r="B1222" s="3"/>
      <c r="C1222" s="5"/>
      <c r="D1222" s="5"/>
      <c r="E1222" s="5"/>
      <c r="K1222" s="8"/>
      <c r="O1222" s="39"/>
      <c r="P1222" s="33"/>
      <c r="S1222" s="33"/>
      <c r="T1222" s="33"/>
    </row>
    <row r="1223" ht="15.75" customHeight="1">
      <c r="B1223" s="3"/>
      <c r="C1223" s="5"/>
      <c r="D1223" s="5"/>
      <c r="E1223" s="5"/>
      <c r="K1223" s="8"/>
      <c r="O1223" s="39"/>
      <c r="P1223" s="33"/>
      <c r="S1223" s="33"/>
      <c r="T1223" s="33"/>
    </row>
    <row r="1224" ht="15.75" customHeight="1">
      <c r="B1224" s="3"/>
      <c r="C1224" s="5"/>
      <c r="D1224" s="5"/>
      <c r="E1224" s="5"/>
      <c r="K1224" s="8"/>
      <c r="O1224" s="39"/>
      <c r="P1224" s="33"/>
      <c r="S1224" s="33"/>
      <c r="T1224" s="33"/>
    </row>
    <row r="1225" ht="15.75" customHeight="1">
      <c r="B1225" s="3"/>
      <c r="C1225" s="5"/>
      <c r="D1225" s="5"/>
      <c r="E1225" s="5"/>
      <c r="K1225" s="8"/>
      <c r="O1225" s="39"/>
      <c r="P1225" s="33"/>
      <c r="S1225" s="33"/>
      <c r="T1225" s="33"/>
    </row>
    <row r="1226" ht="15.75" customHeight="1">
      <c r="B1226" s="3"/>
      <c r="C1226" s="5"/>
      <c r="D1226" s="5"/>
      <c r="E1226" s="5"/>
      <c r="K1226" s="8"/>
      <c r="O1226" s="39"/>
      <c r="P1226" s="33"/>
      <c r="S1226" s="33"/>
      <c r="T1226" s="33"/>
    </row>
    <row r="1227" ht="15.75" customHeight="1">
      <c r="B1227" s="3"/>
      <c r="C1227" s="5"/>
      <c r="D1227" s="5"/>
      <c r="E1227" s="5"/>
      <c r="K1227" s="8"/>
      <c r="O1227" s="39"/>
      <c r="P1227" s="33"/>
      <c r="S1227" s="33"/>
      <c r="T1227" s="33"/>
    </row>
    <row r="1228" ht="15.75" customHeight="1">
      <c r="B1228" s="3"/>
      <c r="C1228" s="5"/>
      <c r="D1228" s="5"/>
      <c r="E1228" s="5"/>
      <c r="K1228" s="8"/>
      <c r="O1228" s="39"/>
      <c r="P1228" s="33"/>
      <c r="S1228" s="33"/>
      <c r="T1228" s="33"/>
    </row>
    <row r="1229" ht="15.75" customHeight="1">
      <c r="B1229" s="3"/>
      <c r="C1229" s="5"/>
      <c r="D1229" s="5"/>
      <c r="E1229" s="5"/>
      <c r="K1229" s="8"/>
      <c r="O1229" s="39"/>
      <c r="P1229" s="33"/>
      <c r="S1229" s="33"/>
      <c r="T1229" s="33"/>
    </row>
    <row r="1230" ht="15.75" customHeight="1">
      <c r="B1230" s="3"/>
      <c r="C1230" s="5"/>
      <c r="D1230" s="5"/>
      <c r="E1230" s="5"/>
      <c r="K1230" s="8"/>
      <c r="O1230" s="39"/>
      <c r="P1230" s="33"/>
      <c r="S1230" s="33"/>
      <c r="T1230" s="33"/>
    </row>
    <row r="1231" ht="15.75" customHeight="1">
      <c r="B1231" s="3"/>
      <c r="C1231" s="5"/>
      <c r="D1231" s="5"/>
      <c r="E1231" s="5"/>
      <c r="K1231" s="8"/>
      <c r="O1231" s="39"/>
      <c r="P1231" s="33"/>
      <c r="S1231" s="33"/>
      <c r="T1231" s="33"/>
    </row>
    <row r="1232" ht="15.75" customHeight="1">
      <c r="B1232" s="3"/>
      <c r="C1232" s="5"/>
      <c r="D1232" s="5"/>
      <c r="E1232" s="5"/>
      <c r="K1232" s="8"/>
      <c r="O1232" s="39"/>
      <c r="P1232" s="33"/>
      <c r="S1232" s="33"/>
      <c r="T1232" s="33"/>
    </row>
  </sheetData>
  <autoFilter ref="$A$2:$Z$531">
    <filterColumn colId="6">
      <filters blank="1">
        <filter val="D"/>
      </filters>
    </filterColumn>
  </autoFilter>
  <mergeCells count="1">
    <mergeCell ref="C2:E2"/>
  </mergeCells>
  <dataValidations>
    <dataValidation type="list" allowBlank="1" showErrorMessage="1" sqref="N3:N528">
      <formula1>"未実施,OK,NG,保留,対象外,自動化"</formula1>
    </dataValidation>
    <dataValidation type="list" allowBlank="1" showErrorMessage="1" sqref="G3:G528">
      <formula1>"A,B,C,D"</formula1>
    </dataValidation>
  </dataValidation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Col="1"/>
  <cols>
    <col customWidth="1" min="1" max="1" width="70.14"/>
    <col customWidth="1" min="2" max="2" width="81.57"/>
    <col customWidth="1" min="3" max="3" width="17.86"/>
  </cols>
  <sheetData>
    <row r="1">
      <c r="A1" s="2" t="s">
        <v>1</v>
      </c>
      <c r="B1" s="2" t="s">
        <v>3</v>
      </c>
      <c r="C1" s="4" t="s">
        <v>4</v>
      </c>
    </row>
    <row r="2">
      <c r="A2" s="6" t="s">
        <v>5</v>
      </c>
      <c r="B2" s="10" t="s">
        <v>6</v>
      </c>
      <c r="C2" s="12" t="s">
        <v>11</v>
      </c>
      <c r="D2" s="11"/>
    </row>
    <row r="3">
      <c r="A3" s="14" t="s">
        <v>12</v>
      </c>
      <c r="B3" s="18" t="s">
        <v>14</v>
      </c>
      <c r="C3" s="12" t="s">
        <v>11</v>
      </c>
      <c r="D3" s="11"/>
    </row>
    <row r="4">
      <c r="A4" s="20"/>
      <c r="B4" s="21"/>
      <c r="C4" s="25"/>
      <c r="D4" s="11"/>
    </row>
    <row r="5">
      <c r="A5" s="20"/>
      <c r="B5" s="27"/>
      <c r="C5" s="25"/>
      <c r="D5" s="11"/>
    </row>
    <row r="6">
      <c r="A6" s="20"/>
      <c r="B6" s="20"/>
      <c r="C6" s="25"/>
      <c r="D6" s="11"/>
    </row>
    <row r="7">
      <c r="A7" s="20"/>
      <c r="B7" s="21"/>
      <c r="C7" s="25"/>
    </row>
    <row r="8">
      <c r="A8" s="20"/>
      <c r="B8" s="30"/>
      <c r="C8" s="25"/>
      <c r="D8" s="11"/>
    </row>
    <row r="9">
      <c r="A9" s="20"/>
      <c r="B9" s="20"/>
      <c r="C9" s="25"/>
      <c r="D9" s="11"/>
    </row>
    <row r="10">
      <c r="A10" s="20"/>
      <c r="B10" s="20"/>
      <c r="C10" s="25"/>
      <c r="D10" s="11"/>
    </row>
    <row r="11">
      <c r="A11" s="20"/>
      <c r="B11" s="20"/>
      <c r="C11" s="25"/>
    </row>
    <row r="12">
      <c r="A12" s="20"/>
      <c r="B12" s="20"/>
      <c r="C12" s="25"/>
    </row>
    <row r="13">
      <c r="A13" s="20"/>
      <c r="B13" s="20"/>
      <c r="C13" s="25"/>
    </row>
    <row r="14">
      <c r="A14" s="20"/>
      <c r="B14" s="20"/>
      <c r="C14" s="25"/>
    </row>
    <row r="15">
      <c r="A15" s="20"/>
      <c r="B15" s="20"/>
      <c r="C15" s="25"/>
    </row>
    <row r="16">
      <c r="A16" s="20"/>
      <c r="B16" s="20"/>
      <c r="C16" s="25"/>
    </row>
    <row r="17">
      <c r="A17" s="20"/>
      <c r="C17" s="25"/>
    </row>
    <row r="18">
      <c r="A18" s="20"/>
      <c r="B18" s="20"/>
      <c r="C18" s="25"/>
    </row>
    <row r="19">
      <c r="A19" s="20"/>
      <c r="B19" s="20"/>
      <c r="C19" s="25"/>
    </row>
    <row r="20">
      <c r="A20" s="20"/>
      <c r="B20" s="20"/>
      <c r="C20" s="25"/>
    </row>
    <row r="21">
      <c r="A21" s="20"/>
      <c r="B21" s="20"/>
      <c r="C21" s="25"/>
    </row>
    <row r="22">
      <c r="A22" s="11" t="s">
        <v>37</v>
      </c>
    </row>
    <row r="23">
      <c r="A23" s="37"/>
    </row>
  </sheetData>
  <hyperlinks>
    <hyperlink r:id="rId1" ref="B2"/>
    <hyperlink r:id="rId2" ref="B3"/>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Col="1"/>
  <cols>
    <col customWidth="1" min="1" max="1" width="8.71"/>
    <col customWidth="1" min="2" max="2" width="13.29"/>
    <col customWidth="1" min="3" max="6" width="8.71"/>
    <col customWidth="1" min="7" max="7" width="10.29"/>
  </cols>
  <sheetData>
    <row r="1" ht="18.75" customHeight="1">
      <c r="B1" s="1" t="s">
        <v>0</v>
      </c>
    </row>
    <row r="2" ht="18.75" customHeight="1"/>
    <row r="3" ht="18.75" customHeight="1">
      <c r="B3" s="7" t="s">
        <v>2</v>
      </c>
      <c r="C3" s="7" t="s">
        <v>7</v>
      </c>
      <c r="D3" s="7" t="s">
        <v>8</v>
      </c>
      <c r="E3" s="7" t="s">
        <v>9</v>
      </c>
      <c r="F3" s="7" t="s">
        <v>10</v>
      </c>
    </row>
    <row r="4" ht="18.75" customHeight="1">
      <c r="B4" s="17">
        <f>COUNTIF('機能一覧'!$G:$G,B3)</f>
        <v>356</v>
      </c>
      <c r="C4" s="17">
        <f>COUNTIF('機能一覧'!$G:$G,C3)</f>
        <v>109</v>
      </c>
      <c r="D4" s="17">
        <f>COUNTIF('機能一覧'!$G:$G,D3)</f>
        <v>18</v>
      </c>
      <c r="E4" s="17">
        <f>COUNTIF('機能一覧'!$G:$G,E3)</f>
        <v>43</v>
      </c>
      <c r="F4" s="17">
        <f>SUM(B4:E4)</f>
        <v>526</v>
      </c>
    </row>
    <row r="5" ht="18.75" customHeight="1"/>
    <row r="6" ht="18.75" customHeight="1">
      <c r="B6" s="1" t="s">
        <v>19</v>
      </c>
    </row>
    <row r="7" ht="18.75" customHeight="1"/>
    <row r="8" ht="18.75" customHeight="1">
      <c r="B8" s="26" t="s">
        <v>20</v>
      </c>
      <c r="C8" s="26" t="s">
        <v>2</v>
      </c>
      <c r="D8" s="26" t="s">
        <v>7</v>
      </c>
      <c r="E8" s="26" t="s">
        <v>8</v>
      </c>
      <c r="F8" s="26" t="s">
        <v>9</v>
      </c>
      <c r="G8" s="26" t="s">
        <v>10</v>
      </c>
    </row>
    <row r="9" ht="18.75" customHeight="1">
      <c r="B9" s="17" t="s">
        <v>23</v>
      </c>
      <c r="C9" s="17">
        <f>COUNTIFS('機能一覧'!$G$3:$G$627,'集計'!C$8,'機能一覧'!$N$3:$N$627,'集計'!$B9)</f>
        <v>234</v>
      </c>
      <c r="D9" s="17">
        <f>COUNTIFS('機能一覧'!$G$3:$G$627,'集計'!D$8,'機能一覧'!$N$3:$N$627,'集計'!$B9)</f>
        <v>45</v>
      </c>
      <c r="E9" s="17">
        <f>COUNTIFS('機能一覧'!$G$3:$G$627,'集計'!E$8,'機能一覧'!$N$3:$N$627,'集計'!$B9)</f>
        <v>7</v>
      </c>
      <c r="F9" s="17">
        <f>COUNTIFS('機能一覧'!$G$3:$G$627,'集計'!F$8,'機能一覧'!$N$3:$N$627,'集計'!$B9)</f>
        <v>43</v>
      </c>
      <c r="G9" s="17">
        <f t="shared" ref="G9:G14" si="1">SUM(C9:F9)</f>
        <v>329</v>
      </c>
      <c r="I9" s="35"/>
    </row>
    <row r="10" ht="18.75" customHeight="1">
      <c r="B10" s="17" t="s">
        <v>35</v>
      </c>
      <c r="C10" s="17">
        <f>COUNTIFS('機能一覧'!$G$3:$G$627,'集計'!C$8,'機能一覧'!$N$3:$N$627,'集計'!$B10)</f>
        <v>0</v>
      </c>
      <c r="D10" s="17">
        <f>COUNTIFS('機能一覧'!$G$3:$G$627,'集計'!D$8,'機能一覧'!$N$3:$N$627,'集計'!$B10)</f>
        <v>0</v>
      </c>
      <c r="E10" s="17">
        <f>COUNTIFS('機能一覧'!$G$3:$G$627,'集計'!E$8,'機能一覧'!$N$3:$N$627,'集計'!$B10)</f>
        <v>0</v>
      </c>
      <c r="F10" s="17">
        <f>COUNTIFS('機能一覧'!$G$3:$G$627,'集計'!F$8,'機能一覧'!$N$3:$N$627,'集計'!$B10)</f>
        <v>0</v>
      </c>
      <c r="G10" s="17">
        <f t="shared" si="1"/>
        <v>0</v>
      </c>
      <c r="I10" s="35"/>
    </row>
    <row r="11" ht="18.75" customHeight="1">
      <c r="B11" s="17" t="s">
        <v>42</v>
      </c>
      <c r="C11" s="17">
        <f>COUNTIFS('機能一覧'!$G$3:$G$627,'集計'!C$8,'機能一覧'!$N$3:$N$627,'集計'!$B11)</f>
        <v>0</v>
      </c>
      <c r="D11" s="17">
        <f>COUNTIFS('機能一覧'!$G$3:$G$627,'集計'!D$8,'機能一覧'!$N$3:$N$627,'集計'!$B11)</f>
        <v>0</v>
      </c>
      <c r="E11" s="17">
        <f>COUNTIFS('機能一覧'!$G$3:$G$627,'集計'!E$8,'機能一覧'!$N$3:$N$627,'集計'!$B11)</f>
        <v>0</v>
      </c>
      <c r="F11" s="17">
        <f>COUNTIFS('機能一覧'!$G$3:$G$627,'集計'!F$8,'機能一覧'!$N$3:$N$627,'集計'!$B11)</f>
        <v>0</v>
      </c>
      <c r="G11" s="17">
        <f t="shared" si="1"/>
        <v>0</v>
      </c>
    </row>
    <row r="12" ht="18.75" customHeight="1">
      <c r="B12" s="17" t="s">
        <v>44</v>
      </c>
      <c r="C12" s="17">
        <f>COUNTIFS('機能一覧'!$G$3:$G$627,'集計'!C$8,'機能一覧'!$N$3:$N$627,'集計'!$B12)</f>
        <v>0</v>
      </c>
      <c r="D12" s="17">
        <f>COUNTIFS('機能一覧'!$G$3:$G$627,'集計'!D$8,'機能一覧'!$N$3:$N$627,'集計'!$B12)</f>
        <v>0</v>
      </c>
      <c r="E12" s="17">
        <f>COUNTIFS('機能一覧'!$G$3:$G$627,'集計'!E$8,'機能一覧'!$N$3:$N$627,'集計'!$B12)</f>
        <v>0</v>
      </c>
      <c r="F12" s="17">
        <f>COUNTIFS('機能一覧'!$G$3:$G$627,'集計'!F$8,'機能一覧'!$N$3:$N$627,'集計'!$B12)</f>
        <v>0</v>
      </c>
      <c r="G12" s="17">
        <f t="shared" si="1"/>
        <v>0</v>
      </c>
    </row>
    <row r="13" ht="18.75" customHeight="1">
      <c r="B13" s="17" t="s">
        <v>47</v>
      </c>
      <c r="C13" s="17">
        <f>COUNTIFS('機能一覧'!$G$3:$G$627,'集計'!C$8,'機能一覧'!$N$3:$N$627,'集計'!$B13)</f>
        <v>0</v>
      </c>
      <c r="D13" s="17">
        <f>COUNTIFS('機能一覧'!$G$3:$G$627,'集計'!D$8,'機能一覧'!$N$3:$N$627,'集計'!$B13)</f>
        <v>0</v>
      </c>
      <c r="E13" s="17">
        <f>COUNTIFS('機能一覧'!$G$3:$G$627,'集計'!E$8,'機能一覧'!$N$3:$N$627,'集計'!$B13)</f>
        <v>0</v>
      </c>
      <c r="F13" s="17">
        <f>COUNTIFS('機能一覧'!$G$3:$G$627,'集計'!F$8,'機能一覧'!$N$3:$N$627,'集計'!$B13)</f>
        <v>0</v>
      </c>
      <c r="G13" s="17">
        <f t="shared" si="1"/>
        <v>0</v>
      </c>
    </row>
    <row r="14" ht="18.75" customHeight="1">
      <c r="B14" s="17" t="s">
        <v>43</v>
      </c>
      <c r="C14" s="17">
        <f>COUNTIFS('機能一覧'!$G$3:$G$627,'集計'!C$8,'機能一覧'!$N$3:$N$627,'集計'!$B14)</f>
        <v>122</v>
      </c>
      <c r="D14" s="17">
        <f>COUNTIFS('機能一覧'!$G$3:$G$627,'集計'!D$8,'機能一覧'!$N$3:$N$627,'集計'!$B14)</f>
        <v>64</v>
      </c>
      <c r="E14" s="17">
        <f>COUNTIFS('機能一覧'!$G$3:$G$627,'集計'!E$8,'機能一覧'!$N$3:$N$627,'集計'!$B14)</f>
        <v>11</v>
      </c>
      <c r="F14" s="17">
        <f>COUNTIFS('機能一覧'!$G$3:$G$627,'集計'!F$8,'機能一覧'!$N$3:$N$627,'集計'!$B14)</f>
        <v>0</v>
      </c>
      <c r="G14" s="17">
        <f t="shared" si="1"/>
        <v>197</v>
      </c>
    </row>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2025-01-06T10:20:13Z</dcterms:created>
  <dc:creator>PF-NPC021</dc:creator>
</cp:coreProperties>
</file>